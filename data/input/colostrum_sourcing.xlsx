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or Videos" sheetId="1" r:id="rId5"/>
    <sheet state="visible" name="Summary" sheetId="2" r:id="rId6"/>
  </sheets>
  <definedNames/>
  <calcPr/>
</workbook>
</file>

<file path=xl/sharedStrings.xml><?xml version="1.0" encoding="utf-8"?>
<sst xmlns="http://schemas.openxmlformats.org/spreadsheetml/2006/main" count="914" uniqueCount="152">
  <si>
    <t>Colostrum creator sourcing — recording extraction</t>
  </si>
  <si>
    <t>Metric</t>
  </si>
  <si>
    <t>Value</t>
  </si>
  <si>
    <t>Video cards extracted</t>
  </si>
  <si>
    <t>Unique creator labels</t>
  </si>
  <si>
    <t>Cards with 10K+ likes</t>
  </si>
  <si>
    <t>Cards with 100K+ likes</t>
  </si>
  <si>
    <t>Product / Brand</t>
  </si>
  <si>
    <t>Low-confidence labels</t>
  </si>
  <si>
    <t>Creator label from recording</t>
  </si>
  <si>
    <t>Likes</t>
  </si>
  <si>
    <t>Engagement tier</t>
  </si>
  <si>
    <t>What this sheet contains</t>
  </si>
  <si>
    <t>Recording timestamp (s)</t>
  </si>
  <si>
    <t>OCR confidence</t>
  </si>
  <si>
    <t>Source</t>
  </si>
  <si>
    <t>Cap 2026-08-27 at 19.43.54.mp4</t>
  </si>
  <si>
    <t>Exact profile link</t>
  </si>
  <si>
    <t>Coverage</t>
  </si>
  <si>
    <t>Exact video link</t>
  </si>
  <si>
    <t>Full 112.4-second recording; 450 frames sampled at 4 fps</t>
  </si>
  <si>
    <t>Rows</t>
  </si>
  <si>
    <t>Outreach status</t>
  </si>
  <si>
    <t>One row per distinct visible creator/video card; repeats are retained when likes differ</t>
  </si>
  <si>
    <t>Links</t>
  </si>
  <si>
    <t>Notes</t>
  </si>
  <si>
    <t>Exact profile/video links are intentionally blank until they can be verified on public TikTok</t>
  </si>
  <si>
    <t>Caution</t>
  </si>
  <si>
    <t>Low-confidence OCR labels must be checked against the timestamp before outreach</t>
  </si>
  <si>
    <t>Micro Ingredients</t>
  </si>
  <si>
    <t>Mahilyet</t>
  </si>
  <si>
    <t>High</t>
  </si>
  <si>
    <t>Needs link lookup</t>
  </si>
  <si>
    <t>Extracted from supplied screen recording</t>
  </si>
  <si>
    <t>Giselle De Garcia</t>
  </si>
  <si>
    <t>Medium</t>
  </si>
  <si>
    <t>Maya Holistic Beauty</t>
  </si>
  <si>
    <t>Lush October</t>
  </si>
  <si>
    <t>Boise Brooke</t>
  </si>
  <si>
    <t>Platillos Exquisitos</t>
  </si>
  <si>
    <t>Physician's Choice</t>
  </si>
  <si>
    <t>Tawny's reviews</t>
  </si>
  <si>
    <t>Creakzzz</t>
  </si>
  <si>
    <t>Mama's Weight Loss</t>
  </si>
  <si>
    <t>Digestiveglownatural</t>
  </si>
  <si>
    <t>Tips de physicians</t>
  </si>
  <si>
    <t>Philsmypharmacist</t>
  </si>
  <si>
    <t>Guisos sabrosos</t>
  </si>
  <si>
    <t>Dr. Faith Coats</t>
  </si>
  <si>
    <t>Recetas y Guisos</t>
  </si>
  <si>
    <t>petit_chaud21</t>
  </si>
  <si>
    <t>Micro Moo</t>
  </si>
  <si>
    <t>Nicolle Figueroa</t>
  </si>
  <si>
    <t>jacquie</t>
  </si>
  <si>
    <t>valereviews</t>
  </si>
  <si>
    <t>Reviews de TikTok Shop</t>
  </si>
  <si>
    <t>Crystal Rivera</t>
  </si>
  <si>
    <t>Julissa</t>
  </si>
  <si>
    <t>Unreadable creator</t>
  </si>
  <si>
    <t>Low</t>
  </si>
  <si>
    <t>Verify label against frame before outreach</t>
  </si>
  <si>
    <t>salud_digestiva1</t>
  </si>
  <si>
    <t>wellnesssecretss</t>
  </si>
  <si>
    <t>The Healthy Truth</t>
  </si>
  <si>
    <t>Bloom Nutrition</t>
  </si>
  <si>
    <t>ShopDealsByQuis</t>
  </si>
  <si>
    <t>Kelsey Pumel - Woods</t>
  </si>
  <si>
    <t>mysterypackfinds</t>
  </si>
  <si>
    <t>JESSYKARINA</t>
  </si>
  <si>
    <t>aliviadonai</t>
  </si>
  <si>
    <t>Angela Maria</t>
  </si>
  <si>
    <t>#TheRealBoss</t>
  </si>
  <si>
    <t>Shawna</t>
  </si>
  <si>
    <t>Sofie Marie</t>
  </si>
  <si>
    <t>Michaela Scott</t>
  </si>
  <si>
    <t>Donations4mom</t>
  </si>
  <si>
    <t>Cris Miranda</t>
  </si>
  <si>
    <t>Chie dp</t>
  </si>
  <si>
    <t>PrincessDi Butler</t>
  </si>
  <si>
    <t>Nutricost</t>
  </si>
  <si>
    <t>Mama A</t>
  </si>
  <si>
    <t>Marissa Jalea</t>
  </si>
  <si>
    <t>Chloe Heer | Motherhood + UGC</t>
  </si>
  <si>
    <t>avarie martin</t>
  </si>
  <si>
    <t>Laisha</t>
  </si>
  <si>
    <t>Berkley</t>
  </si>
  <si>
    <t>adrianna martin</t>
  </si>
  <si>
    <t>Paige | boy mom of 3</t>
  </si>
  <si>
    <t>Lizzy o</t>
  </si>
  <si>
    <t>Jaspa | UGC INFLUENCER | SAHM</t>
  </si>
  <si>
    <t>MommyMisfits</t>
  </si>
  <si>
    <t>Taylor</t>
  </si>
  <si>
    <t>ARMRA</t>
  </si>
  <si>
    <t>rosiepiper_</t>
  </si>
  <si>
    <t>Beingwellishot</t>
  </si>
  <si>
    <t>Morgan</t>
  </si>
  <si>
    <t>covfefe</t>
  </si>
  <si>
    <t>Kaitlyn</t>
  </si>
  <si>
    <t>Torigerbig</t>
  </si>
  <si>
    <t>Isabel Bauche</t>
  </si>
  <si>
    <t>Jisselita</t>
  </si>
  <si>
    <t>amba</t>
  </si>
  <si>
    <t>Lemme</t>
  </si>
  <si>
    <t>Lexi</t>
  </si>
  <si>
    <t>jayyy 2</t>
  </si>
  <si>
    <t>Daniella Magec</t>
  </si>
  <si>
    <t>paolamedellin_s</t>
  </si>
  <si>
    <t>Cici de</t>
  </si>
  <si>
    <t>taylorgoldblatt</t>
  </si>
  <si>
    <t>Angel Ayar</t>
  </si>
  <si>
    <t>CLARISSA</t>
  </si>
  <si>
    <t>BRI | The Nurse</t>
  </si>
  <si>
    <t>Melissa Mariche</t>
  </si>
  <si>
    <t>Aprende con Carolina</t>
  </si>
  <si>
    <t>claudia_deras_</t>
  </si>
  <si>
    <t>cici</t>
  </si>
  <si>
    <t>Elizabeth Martinez</t>
  </si>
  <si>
    <t>Sam_jam15</t>
  </si>
  <si>
    <t>Cymbiotika</t>
  </si>
  <si>
    <t>Mackk</t>
  </si>
  <si>
    <t>Esthetician | Beauty | Health</t>
  </si>
  <si>
    <t>Nikki</t>
  </si>
  <si>
    <t>shopwithgigi</t>
  </si>
  <si>
    <t>Kaylie Stephens</t>
  </si>
  <si>
    <t>Wellah Nutrition</t>
  </si>
  <si>
    <t>PaoRuizTTSH</t>
  </si>
  <si>
    <t>Rosalby</t>
  </si>
  <si>
    <t>ponce's</t>
  </si>
  <si>
    <t>Chica__official</t>
  </si>
  <si>
    <t>Rosie</t>
  </si>
  <si>
    <t>Smurf Shop</t>
  </si>
  <si>
    <t>ERIKA</t>
  </si>
  <si>
    <t>231 AM SHEILA J25</t>
  </si>
  <si>
    <t>The Wellness Deals</t>
  </si>
  <si>
    <t>MamaK</t>
  </si>
  <si>
    <t>Dr. Kim | Life Elevated</t>
  </si>
  <si>
    <t>EmmaNoelle</t>
  </si>
  <si>
    <t>Addilyne</t>
  </si>
  <si>
    <t>mirellva24</t>
  </si>
  <si>
    <t>Magic Milk</t>
  </si>
  <si>
    <t>Ramon y Maricela</t>
  </si>
  <si>
    <t>sean</t>
  </si>
  <si>
    <t>M Danish</t>
  </si>
  <si>
    <t>farmacyrevolution</t>
  </si>
  <si>
    <t>Elyse L</t>
  </si>
  <si>
    <t>La Regia en Texas</t>
  </si>
  <si>
    <t>Destiney Lucero</t>
  </si>
  <si>
    <t>Chelsea | a beige mom’s closet</t>
  </si>
  <si>
    <t>PLUCERO</t>
  </si>
  <si>
    <t>Keke E</t>
  </si>
  <si>
    <t>Tinosnubhc</t>
  </si>
  <si>
    <t>Anthony David | MILLENNIALOX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</si>
</sst>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b/>
      <sz val="11.0"/>
      <color rgb="FF1E3A8A"/>
      <name val="Carlito"/>
    </font>
    <font>
      <sz val="11.0"/>
      <color theme="1"/>
      <name val="Carlito"/>
    </font>
    <font>
      <b/>
      <sz val="11.0"/>
      <color rgb="FF312E81"/>
      <name val="Carlito"/>
    </font>
    <font>
      <sz val="11.0"/>
      <color rgb="FF172033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2563EB"/>
        <bgColor rgb="FF2563EB"/>
      </patternFill>
    </fill>
    <fill>
      <patternFill patternType="solid">
        <fgColor rgb="FFEFF6FF"/>
        <bgColor rgb="FFEFF6FF"/>
      </patternFill>
    </fill>
    <fill>
      <patternFill patternType="solid">
        <fgColor rgb="FFE0E7FF"/>
        <bgColor rgb="FFE0E7FF"/>
      </patternFill>
    </fill>
  </fills>
  <borders count="10">
    <border/>
    <border>
      <left style="thin">
        <color rgb="FFCBD5E1"/>
      </left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</border>
    <border>
      <right style="thin">
        <color rgb="FFCBD5E1"/>
      </right>
    </border>
    <border>
      <left style="thin">
        <color rgb="FFCBD5E1"/>
      </left>
      <bottom style="thin">
        <color rgb="FFCBD5E1"/>
      </bottom>
    </border>
    <border>
      <bottom style="thin">
        <color rgb="FFE5E7EB"/>
      </bottom>
    </border>
    <border>
      <right style="thin">
        <color rgb="FFCBD5E1"/>
      </right>
      <bottom style="thin">
        <color rgb="FFCBD5E1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1" fillId="3" fontId="2" numFmtId="0" xfId="0" applyBorder="1" applyFill="1" applyFont="1"/>
    <xf borderId="2" fillId="3" fontId="2" numFmtId="0" xfId="0" applyBorder="1" applyFill="1" applyFont="1"/>
    <xf borderId="3" fillId="4" fontId="3" numFmtId="0" xfId="0" applyBorder="1" applyFill="1" applyFont="1"/>
    <xf borderId="4" fillId="0" fontId="4" numFmtId="0" xfId="0" applyBorder="1" applyFont="1"/>
    <xf borderId="5" fillId="4" fontId="3" numFmtId="0" xfId="0" applyBorder="1" applyFill="1" applyFont="1"/>
    <xf borderId="6" fillId="2" fontId="2" numFmtId="0" xfId="0" applyAlignment="1" applyBorder="1" applyFill="1" applyFont="1">
      <alignment horizontal="left" readingOrder="0" shrinkToFit="0" vertical="center" wrapText="1"/>
    </xf>
    <xf borderId="7" fillId="0" fontId="4" numFmtId="0" xfId="0" applyBorder="1" applyFont="1"/>
    <xf borderId="0" fillId="5" fontId="5" numFmtId="0" xfId="0" applyFill="1" applyFont="1"/>
    <xf borderId="0" fillId="0" fontId="4" numFmtId="0" xfId="0" applyAlignment="1" applyFont="1">
      <alignment shrinkToFit="0" wrapText="1"/>
    </xf>
    <xf borderId="8" fillId="0" fontId="6" numFmtId="0" xfId="0" applyAlignment="1" applyBorder="1" applyFont="1">
      <alignment shrinkToFit="0" vertical="top" wrapText="1"/>
    </xf>
    <xf borderId="8" fillId="0" fontId="6" numFmtId="0" xfId="0" applyAlignment="1" applyBorder="1" applyFont="1">
      <alignment shrinkToFit="0" vertical="top" wrapText="0"/>
    </xf>
    <xf borderId="8" fillId="0" fontId="6" numFmtId="49" xfId="0" applyAlignment="1" applyBorder="1" applyFont="1" applyNumberFormat="1">
      <alignment shrinkToFit="0" vertical="top" wrapText="0"/>
    </xf>
    <xf borderId="8" fillId="0" fontId="6" numFmtId="0" xfId="0" applyAlignment="1" applyBorder="1" applyFont="1">
      <alignment shrinkToFit="0" vertical="top" wrapText="0"/>
    </xf>
    <xf borderId="8" fillId="0" fontId="6" numFmtId="49" xfId="0" applyAlignment="1" applyBorder="1" applyFont="1" applyNumberFormat="1">
      <alignment shrinkToFit="0" vertical="top" wrapText="1"/>
    </xf>
    <xf borderId="8" fillId="0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0"/>
    </xf>
    <xf borderId="9" fillId="0" fontId="6" numFmtId="49" xfId="0" applyAlignment="1" applyBorder="1" applyFont="1" applyNumberFormat="1">
      <alignment shrinkToFit="0" vertical="top" wrapText="0"/>
    </xf>
    <xf borderId="9" fillId="0" fontId="6" numFmtId="0" xfId="0" applyAlignment="1" applyBorder="1" applyFont="1">
      <alignment shrinkToFit="0" vertical="top" wrapText="0"/>
    </xf>
    <xf borderId="9" fillId="0" fontId="6" numFmtId="49" xfId="0" applyAlignment="1" applyBorder="1" applyFont="1" applyNumberFormat="1">
      <alignment shrinkToFit="0" vertical="top" wrapText="1"/>
    </xf>
    <xf borderId="9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1D4ED8"/>
      </font>
      <fill>
        <patternFill patternType="solid">
          <fgColor rgb="FFDBEAFE"/>
          <bgColor rgb="FFDBEAFE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</dxfs>
  <tableStyles count="1">
    <tableStyle count="4" pivot="0" name="Creator Vide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78" displayName="CreatorVideosTable" name="CreatorVideosTable" id="1">
  <tableColumns count="10">
    <tableColumn name="Product / Brand" id="1"/>
    <tableColumn name="Creator label from recording" id="2"/>
    <tableColumn name="Likes" id="3"/>
    <tableColumn name="Engagement tier" id="4"/>
    <tableColumn name="Recording timestamp (s)" id="5"/>
    <tableColumn name="OCR confidence" id="6"/>
    <tableColumn name="Exact profile link" id="7"/>
    <tableColumn name="Exact video link" id="8"/>
    <tableColumn name="Outreach status" id="9"/>
    <tableColumn name="Notes" id="10"/>
  </tableColumns>
  <tableStyleInfo name="Creator Vide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29.0"/>
    <col customWidth="1" min="3" max="3" width="12.0"/>
    <col customWidth="1" min="4" max="4" width="15.0"/>
    <col customWidth="1" min="5" max="5" width="18.0"/>
    <col customWidth="1" min="6" max="6" width="15.0"/>
    <col customWidth="1" min="7" max="8" width="34.0"/>
    <col customWidth="1" min="9" max="9" width="20.0"/>
    <col customWidth="1" min="10" max="10" width="38.0"/>
    <col customWidth="1" min="11" max="26" width="8.63"/>
  </cols>
  <sheetData>
    <row r="1" ht="31.5" customHeight="1">
      <c r="A1" s="7" t="s">
        <v>7</v>
      </c>
      <c r="B1" s="7" t="s">
        <v>9</v>
      </c>
      <c r="C1" s="7" t="s">
        <v>10</v>
      </c>
      <c r="D1" s="7" t="s">
        <v>11</v>
      </c>
      <c r="E1" s="7" t="s">
        <v>13</v>
      </c>
      <c r="F1" s="7" t="s">
        <v>14</v>
      </c>
      <c r="G1" s="7" t="s">
        <v>17</v>
      </c>
      <c r="H1" s="7" t="s">
        <v>19</v>
      </c>
      <c r="I1" s="7" t="s">
        <v>22</v>
      </c>
      <c r="J1" s="7" t="s">
        <v>25</v>
      </c>
    </row>
    <row r="2">
      <c r="A2" s="11" t="s">
        <v>29</v>
      </c>
      <c r="B2" s="11" t="s">
        <v>30</v>
      </c>
      <c r="C2" s="12">
        <v>6000.0</v>
      </c>
      <c r="D2" s="13" t="str">
        <f t="shared" ref="D2:D178" si="1">IF(C2="","Verify",IF(C2&gt;=100000,"Viral",IF(C2&gt;=10000,"Strong",IF(C2&gt;=1000,"Proven",IF(C2&gt;=200,"Watch","Low")))))</f>
        <v>Proven</v>
      </c>
      <c r="E2" s="12">
        <v>0.0</v>
      </c>
      <c r="F2" s="14" t="s">
        <v>31</v>
      </c>
      <c r="G2" s="15"/>
      <c r="H2" s="15"/>
      <c r="I2" s="16" t="s">
        <v>32</v>
      </c>
      <c r="J2" s="11" t="s">
        <v>33</v>
      </c>
    </row>
    <row r="3">
      <c r="A3" s="11" t="s">
        <v>29</v>
      </c>
      <c r="B3" s="11" t="s">
        <v>34</v>
      </c>
      <c r="C3" s="12">
        <v>5200.0</v>
      </c>
      <c r="D3" s="13" t="str">
        <f t="shared" si="1"/>
        <v>Proven</v>
      </c>
      <c r="E3" s="12">
        <v>0.0</v>
      </c>
      <c r="F3" s="14" t="s">
        <v>35</v>
      </c>
      <c r="G3" s="15"/>
      <c r="H3" s="15"/>
      <c r="I3" s="16" t="s">
        <v>32</v>
      </c>
      <c r="J3" s="11" t="s">
        <v>33</v>
      </c>
    </row>
    <row r="4">
      <c r="A4" s="11" t="s">
        <v>29</v>
      </c>
      <c r="B4" s="11" t="s">
        <v>34</v>
      </c>
      <c r="C4" s="12">
        <v>4800.0</v>
      </c>
      <c r="D4" s="13" t="str">
        <f t="shared" si="1"/>
        <v>Proven</v>
      </c>
      <c r="E4" s="12">
        <v>0.0</v>
      </c>
      <c r="F4" s="14" t="s">
        <v>35</v>
      </c>
      <c r="G4" s="15"/>
      <c r="H4" s="15"/>
      <c r="I4" s="16" t="s">
        <v>32</v>
      </c>
      <c r="J4" s="11" t="s">
        <v>33</v>
      </c>
    </row>
    <row r="5">
      <c r="A5" s="11" t="s">
        <v>29</v>
      </c>
      <c r="B5" s="11" t="s">
        <v>36</v>
      </c>
      <c r="C5" s="12">
        <v>3600.0</v>
      </c>
      <c r="D5" s="13" t="str">
        <f t="shared" si="1"/>
        <v>Proven</v>
      </c>
      <c r="E5" s="12">
        <v>0.0</v>
      </c>
      <c r="F5" s="14" t="s">
        <v>31</v>
      </c>
      <c r="G5" s="15"/>
      <c r="H5" s="15"/>
      <c r="I5" s="16" t="s">
        <v>32</v>
      </c>
      <c r="J5" s="11" t="s">
        <v>33</v>
      </c>
    </row>
    <row r="6">
      <c r="A6" s="11" t="s">
        <v>29</v>
      </c>
      <c r="B6" s="11" t="s">
        <v>37</v>
      </c>
      <c r="C6" s="12">
        <v>3200.0</v>
      </c>
      <c r="D6" s="13" t="str">
        <f t="shared" si="1"/>
        <v>Proven</v>
      </c>
      <c r="E6" s="12">
        <v>0.0</v>
      </c>
      <c r="F6" s="14" t="s">
        <v>31</v>
      </c>
      <c r="G6" s="15"/>
      <c r="H6" s="15"/>
      <c r="I6" s="16" t="s">
        <v>32</v>
      </c>
      <c r="J6" s="11" t="s">
        <v>33</v>
      </c>
    </row>
    <row r="7">
      <c r="A7" s="11" t="s">
        <v>29</v>
      </c>
      <c r="B7" s="11" t="s">
        <v>34</v>
      </c>
      <c r="C7" s="12">
        <v>2900.0</v>
      </c>
      <c r="D7" s="13" t="str">
        <f t="shared" si="1"/>
        <v>Proven</v>
      </c>
      <c r="E7" s="12">
        <v>3.0</v>
      </c>
      <c r="F7" s="14" t="s">
        <v>35</v>
      </c>
      <c r="G7" s="15"/>
      <c r="H7" s="15"/>
      <c r="I7" s="16" t="s">
        <v>32</v>
      </c>
      <c r="J7" s="11" t="s">
        <v>33</v>
      </c>
    </row>
    <row r="8">
      <c r="A8" s="11" t="s">
        <v>29</v>
      </c>
      <c r="B8" s="11" t="s">
        <v>34</v>
      </c>
      <c r="C8" s="12">
        <v>2700.0</v>
      </c>
      <c r="D8" s="13" t="str">
        <f t="shared" si="1"/>
        <v>Proven</v>
      </c>
      <c r="E8" s="12">
        <v>3.0</v>
      </c>
      <c r="F8" s="14" t="s">
        <v>35</v>
      </c>
      <c r="G8" s="15"/>
      <c r="H8" s="15"/>
      <c r="I8" s="16" t="s">
        <v>32</v>
      </c>
      <c r="J8" s="11" t="s">
        <v>33</v>
      </c>
    </row>
    <row r="9">
      <c r="A9" s="11" t="s">
        <v>29</v>
      </c>
      <c r="B9" s="11" t="s">
        <v>34</v>
      </c>
      <c r="C9" s="12">
        <v>2400.0</v>
      </c>
      <c r="D9" s="13" t="str">
        <f t="shared" si="1"/>
        <v>Proven</v>
      </c>
      <c r="E9" s="12">
        <v>3.0</v>
      </c>
      <c r="F9" s="14" t="s">
        <v>35</v>
      </c>
      <c r="G9" s="15"/>
      <c r="H9" s="15"/>
      <c r="I9" s="16" t="s">
        <v>32</v>
      </c>
      <c r="J9" s="11" t="s">
        <v>33</v>
      </c>
    </row>
    <row r="10">
      <c r="A10" s="11" t="s">
        <v>29</v>
      </c>
      <c r="B10" s="11" t="s">
        <v>34</v>
      </c>
      <c r="C10" s="12">
        <v>2100.0</v>
      </c>
      <c r="D10" s="13" t="str">
        <f t="shared" si="1"/>
        <v>Proven</v>
      </c>
      <c r="E10" s="12">
        <v>4.5</v>
      </c>
      <c r="F10" s="14" t="s">
        <v>35</v>
      </c>
      <c r="G10" s="15"/>
      <c r="H10" s="15"/>
      <c r="I10" s="16" t="s">
        <v>32</v>
      </c>
      <c r="J10" s="11" t="s">
        <v>33</v>
      </c>
    </row>
    <row r="11">
      <c r="A11" s="11" t="s">
        <v>29</v>
      </c>
      <c r="B11" s="11" t="s">
        <v>34</v>
      </c>
      <c r="C11" s="12">
        <v>2000.0</v>
      </c>
      <c r="D11" s="13" t="str">
        <f t="shared" si="1"/>
        <v>Proven</v>
      </c>
      <c r="E11" s="12">
        <v>4.5</v>
      </c>
      <c r="F11" s="14" t="s">
        <v>35</v>
      </c>
      <c r="G11" s="15"/>
      <c r="H11" s="15"/>
      <c r="I11" s="16" t="s">
        <v>32</v>
      </c>
      <c r="J11" s="11" t="s">
        <v>33</v>
      </c>
    </row>
    <row r="12">
      <c r="A12" s="11" t="s">
        <v>29</v>
      </c>
      <c r="B12" s="11" t="s">
        <v>34</v>
      </c>
      <c r="C12" s="12">
        <v>1600.0</v>
      </c>
      <c r="D12" s="13" t="str">
        <f t="shared" si="1"/>
        <v>Proven</v>
      </c>
      <c r="E12" s="12">
        <v>4.5</v>
      </c>
      <c r="F12" s="14" t="s">
        <v>35</v>
      </c>
      <c r="G12" s="15"/>
      <c r="H12" s="15"/>
      <c r="I12" s="16" t="s">
        <v>32</v>
      </c>
      <c r="J12" s="11" t="s">
        <v>33</v>
      </c>
    </row>
    <row r="13">
      <c r="A13" s="11" t="s">
        <v>29</v>
      </c>
      <c r="B13" s="11" t="s">
        <v>34</v>
      </c>
      <c r="C13" s="12">
        <v>1400.0</v>
      </c>
      <c r="D13" s="13" t="str">
        <f t="shared" si="1"/>
        <v>Proven</v>
      </c>
      <c r="E13" s="12">
        <v>4.5</v>
      </c>
      <c r="F13" s="14" t="s">
        <v>35</v>
      </c>
      <c r="G13" s="15"/>
      <c r="H13" s="15"/>
      <c r="I13" s="16" t="s">
        <v>32</v>
      </c>
      <c r="J13" s="11" t="s">
        <v>33</v>
      </c>
    </row>
    <row r="14">
      <c r="A14" s="11" t="s">
        <v>29</v>
      </c>
      <c r="B14" s="11" t="s">
        <v>38</v>
      </c>
      <c r="C14" s="12">
        <v>1300.0</v>
      </c>
      <c r="D14" s="13" t="str">
        <f t="shared" si="1"/>
        <v>Proven</v>
      </c>
      <c r="E14" s="12">
        <v>6.0</v>
      </c>
      <c r="F14" s="14" t="s">
        <v>31</v>
      </c>
      <c r="G14" s="15"/>
      <c r="H14" s="15"/>
      <c r="I14" s="16" t="s">
        <v>32</v>
      </c>
      <c r="J14" s="11" t="s">
        <v>33</v>
      </c>
    </row>
    <row r="15">
      <c r="A15" s="11" t="s">
        <v>29</v>
      </c>
      <c r="B15" s="11" t="s">
        <v>34</v>
      </c>
      <c r="C15" s="12">
        <v>1300.0</v>
      </c>
      <c r="D15" s="13" t="str">
        <f t="shared" si="1"/>
        <v>Proven</v>
      </c>
      <c r="E15" s="12">
        <v>6.0</v>
      </c>
      <c r="F15" s="14" t="s">
        <v>35</v>
      </c>
      <c r="G15" s="15"/>
      <c r="H15" s="15"/>
      <c r="I15" s="16" t="s">
        <v>32</v>
      </c>
      <c r="J15" s="11" t="s">
        <v>33</v>
      </c>
    </row>
    <row r="16">
      <c r="A16" s="11" t="s">
        <v>29</v>
      </c>
      <c r="B16" s="11" t="s">
        <v>34</v>
      </c>
      <c r="C16" s="12">
        <v>1200.0</v>
      </c>
      <c r="D16" s="13" t="str">
        <f t="shared" si="1"/>
        <v>Proven</v>
      </c>
      <c r="E16" s="12">
        <v>6.0</v>
      </c>
      <c r="F16" s="14" t="s">
        <v>35</v>
      </c>
      <c r="G16" s="15"/>
      <c r="H16" s="15"/>
      <c r="I16" s="16" t="s">
        <v>32</v>
      </c>
      <c r="J16" s="11" t="s">
        <v>33</v>
      </c>
    </row>
    <row r="17">
      <c r="A17" s="11" t="s">
        <v>29</v>
      </c>
      <c r="B17" s="11" t="s">
        <v>34</v>
      </c>
      <c r="C17" s="12">
        <v>1200.0</v>
      </c>
      <c r="D17" s="13" t="str">
        <f t="shared" si="1"/>
        <v>Proven</v>
      </c>
      <c r="E17" s="12">
        <v>8.0</v>
      </c>
      <c r="F17" s="14" t="s">
        <v>35</v>
      </c>
      <c r="G17" s="15"/>
      <c r="H17" s="15"/>
      <c r="I17" s="16" t="s">
        <v>32</v>
      </c>
      <c r="J17" s="11" t="s">
        <v>33</v>
      </c>
    </row>
    <row r="18">
      <c r="A18" s="11" t="s">
        <v>29</v>
      </c>
      <c r="B18" s="11" t="s">
        <v>37</v>
      </c>
      <c r="C18" s="12">
        <v>1200.0</v>
      </c>
      <c r="D18" s="13" t="str">
        <f t="shared" si="1"/>
        <v>Proven</v>
      </c>
      <c r="E18" s="12">
        <v>8.0</v>
      </c>
      <c r="F18" s="14" t="s">
        <v>31</v>
      </c>
      <c r="G18" s="15"/>
      <c r="H18" s="15"/>
      <c r="I18" s="16" t="s">
        <v>32</v>
      </c>
      <c r="J18" s="11" t="s">
        <v>33</v>
      </c>
    </row>
    <row r="19">
      <c r="A19" s="11" t="s">
        <v>29</v>
      </c>
      <c r="B19" s="11" t="s">
        <v>39</v>
      </c>
      <c r="C19" s="12">
        <v>1100.0</v>
      </c>
      <c r="D19" s="13" t="str">
        <f t="shared" si="1"/>
        <v>Proven</v>
      </c>
      <c r="E19" s="12">
        <v>8.0</v>
      </c>
      <c r="F19" s="14" t="s">
        <v>31</v>
      </c>
      <c r="G19" s="15"/>
      <c r="H19" s="15"/>
      <c r="I19" s="16" t="s">
        <v>32</v>
      </c>
      <c r="J19" s="11" t="s">
        <v>33</v>
      </c>
    </row>
    <row r="20">
      <c r="A20" s="11" t="s">
        <v>40</v>
      </c>
      <c r="B20" s="11" t="s">
        <v>41</v>
      </c>
      <c r="C20" s="12">
        <v>11000.0</v>
      </c>
      <c r="D20" s="13" t="str">
        <f t="shared" si="1"/>
        <v>Strong</v>
      </c>
      <c r="E20" s="12">
        <v>10.0</v>
      </c>
      <c r="F20" s="14" t="s">
        <v>31</v>
      </c>
      <c r="G20" s="15"/>
      <c r="H20" s="15"/>
      <c r="I20" s="16" t="s">
        <v>32</v>
      </c>
      <c r="J20" s="11" t="s">
        <v>33</v>
      </c>
    </row>
    <row r="21" ht="15.75" customHeight="1">
      <c r="A21" s="11" t="s">
        <v>40</v>
      </c>
      <c r="B21" s="11" t="s">
        <v>42</v>
      </c>
      <c r="C21" s="12">
        <v>6000.0</v>
      </c>
      <c r="D21" s="13" t="str">
        <f t="shared" si="1"/>
        <v>Proven</v>
      </c>
      <c r="E21" s="12">
        <v>10.0</v>
      </c>
      <c r="F21" s="14" t="s">
        <v>31</v>
      </c>
      <c r="G21" s="15"/>
      <c r="H21" s="15"/>
      <c r="I21" s="16" t="s">
        <v>32</v>
      </c>
      <c r="J21" s="11" t="s">
        <v>33</v>
      </c>
    </row>
    <row r="22" ht="15.75" customHeight="1">
      <c r="A22" s="11" t="s">
        <v>40</v>
      </c>
      <c r="B22" s="11" t="s">
        <v>43</v>
      </c>
      <c r="C22" s="12">
        <v>3800.0</v>
      </c>
      <c r="D22" s="13" t="str">
        <f t="shared" si="1"/>
        <v>Proven</v>
      </c>
      <c r="E22" s="12">
        <v>10.0</v>
      </c>
      <c r="F22" s="14" t="s">
        <v>31</v>
      </c>
      <c r="G22" s="15"/>
      <c r="H22" s="15"/>
      <c r="I22" s="16" t="s">
        <v>32</v>
      </c>
      <c r="J22" s="11" t="s">
        <v>33</v>
      </c>
    </row>
    <row r="23" ht="15.75" customHeight="1">
      <c r="A23" s="11" t="s">
        <v>40</v>
      </c>
      <c r="B23" s="11" t="s">
        <v>41</v>
      </c>
      <c r="C23" s="12">
        <v>3500.0</v>
      </c>
      <c r="D23" s="13" t="str">
        <f t="shared" si="1"/>
        <v>Proven</v>
      </c>
      <c r="E23" s="12">
        <v>10.0</v>
      </c>
      <c r="F23" s="14" t="s">
        <v>31</v>
      </c>
      <c r="G23" s="15"/>
      <c r="H23" s="15"/>
      <c r="I23" s="16" t="s">
        <v>32</v>
      </c>
      <c r="J23" s="11" t="s">
        <v>33</v>
      </c>
    </row>
    <row r="24" ht="15.75" customHeight="1">
      <c r="A24" s="11" t="s">
        <v>40</v>
      </c>
      <c r="B24" s="11" t="s">
        <v>44</v>
      </c>
      <c r="C24" s="12">
        <v>2600.0</v>
      </c>
      <c r="D24" s="13" t="str">
        <f t="shared" si="1"/>
        <v>Proven</v>
      </c>
      <c r="E24" s="12">
        <v>10.0</v>
      </c>
      <c r="F24" s="14" t="s">
        <v>31</v>
      </c>
      <c r="G24" s="15"/>
      <c r="H24" s="15"/>
      <c r="I24" s="16" t="s">
        <v>32</v>
      </c>
      <c r="J24" s="11" t="s">
        <v>33</v>
      </c>
    </row>
    <row r="25" ht="15.75" customHeight="1">
      <c r="A25" s="11" t="s">
        <v>40</v>
      </c>
      <c r="B25" s="11" t="s">
        <v>45</v>
      </c>
      <c r="C25" s="12">
        <v>2600.0</v>
      </c>
      <c r="D25" s="13" t="str">
        <f t="shared" si="1"/>
        <v>Proven</v>
      </c>
      <c r="E25" s="12">
        <v>12.5</v>
      </c>
      <c r="F25" s="14" t="s">
        <v>31</v>
      </c>
      <c r="G25" s="15"/>
      <c r="H25" s="15"/>
      <c r="I25" s="16" t="s">
        <v>32</v>
      </c>
      <c r="J25" s="11" t="s">
        <v>33</v>
      </c>
    </row>
    <row r="26" ht="15.75" customHeight="1">
      <c r="A26" s="11" t="s">
        <v>40</v>
      </c>
      <c r="B26" s="11" t="s">
        <v>42</v>
      </c>
      <c r="C26" s="12">
        <v>2800.0</v>
      </c>
      <c r="D26" s="13" t="str">
        <f t="shared" si="1"/>
        <v>Proven</v>
      </c>
      <c r="E26" s="12">
        <v>12.5</v>
      </c>
      <c r="F26" s="14" t="s">
        <v>31</v>
      </c>
      <c r="G26" s="15"/>
      <c r="H26" s="15"/>
      <c r="I26" s="16" t="s">
        <v>32</v>
      </c>
      <c r="J26" s="11" t="s">
        <v>33</v>
      </c>
    </row>
    <row r="27" ht="15.75" customHeight="1">
      <c r="A27" s="11" t="s">
        <v>40</v>
      </c>
      <c r="B27" s="11" t="s">
        <v>46</v>
      </c>
      <c r="C27" s="12">
        <v>1700.0</v>
      </c>
      <c r="D27" s="13" t="str">
        <f t="shared" si="1"/>
        <v>Proven</v>
      </c>
      <c r="E27" s="12">
        <v>12.5</v>
      </c>
      <c r="F27" s="14" t="s">
        <v>31</v>
      </c>
      <c r="G27" s="15"/>
      <c r="H27" s="15"/>
      <c r="I27" s="16" t="s">
        <v>32</v>
      </c>
      <c r="J27" s="11" t="s">
        <v>33</v>
      </c>
    </row>
    <row r="28" ht="15.75" customHeight="1">
      <c r="A28" s="11" t="s">
        <v>40</v>
      </c>
      <c r="B28" s="11" t="s">
        <v>41</v>
      </c>
      <c r="C28" s="12">
        <v>1200.0</v>
      </c>
      <c r="D28" s="13" t="str">
        <f t="shared" si="1"/>
        <v>Proven</v>
      </c>
      <c r="E28" s="12">
        <v>14.5</v>
      </c>
      <c r="F28" s="14" t="s">
        <v>31</v>
      </c>
      <c r="G28" s="15"/>
      <c r="H28" s="15"/>
      <c r="I28" s="16" t="s">
        <v>32</v>
      </c>
      <c r="J28" s="11" t="s">
        <v>33</v>
      </c>
    </row>
    <row r="29" ht="15.75" customHeight="1">
      <c r="A29" s="11" t="s">
        <v>40</v>
      </c>
      <c r="B29" s="11" t="s">
        <v>45</v>
      </c>
      <c r="C29" s="12">
        <v>1100.0</v>
      </c>
      <c r="D29" s="13" t="str">
        <f t="shared" si="1"/>
        <v>Proven</v>
      </c>
      <c r="E29" s="12">
        <v>14.5</v>
      </c>
      <c r="F29" s="14" t="s">
        <v>31</v>
      </c>
      <c r="G29" s="15"/>
      <c r="H29" s="15"/>
      <c r="I29" s="16" t="s">
        <v>32</v>
      </c>
      <c r="J29" s="11" t="s">
        <v>33</v>
      </c>
    </row>
    <row r="30" ht="15.75" customHeight="1">
      <c r="A30" s="11" t="s">
        <v>40</v>
      </c>
      <c r="B30" s="11" t="s">
        <v>45</v>
      </c>
      <c r="C30" s="12">
        <v>896.0</v>
      </c>
      <c r="D30" s="13" t="str">
        <f t="shared" si="1"/>
        <v>Watch</v>
      </c>
      <c r="E30" s="12">
        <v>14.5</v>
      </c>
      <c r="F30" s="14" t="s">
        <v>31</v>
      </c>
      <c r="G30" s="15"/>
      <c r="H30" s="15"/>
      <c r="I30" s="16" t="s">
        <v>32</v>
      </c>
      <c r="J30" s="11" t="s">
        <v>33</v>
      </c>
    </row>
    <row r="31" ht="15.75" customHeight="1">
      <c r="A31" s="11" t="s">
        <v>40</v>
      </c>
      <c r="B31" s="11" t="s">
        <v>45</v>
      </c>
      <c r="C31" s="12">
        <v>765.0</v>
      </c>
      <c r="D31" s="13" t="str">
        <f t="shared" si="1"/>
        <v>Watch</v>
      </c>
      <c r="E31" s="12">
        <v>14.5</v>
      </c>
      <c r="F31" s="14" t="s">
        <v>31</v>
      </c>
      <c r="G31" s="15"/>
      <c r="H31" s="15"/>
      <c r="I31" s="16" t="s">
        <v>32</v>
      </c>
      <c r="J31" s="11" t="s">
        <v>33</v>
      </c>
    </row>
    <row r="32" ht="15.75" customHeight="1">
      <c r="A32" s="11" t="s">
        <v>40</v>
      </c>
      <c r="B32" s="11" t="s">
        <v>41</v>
      </c>
      <c r="C32" s="12">
        <v>794.0</v>
      </c>
      <c r="D32" s="13" t="str">
        <f t="shared" si="1"/>
        <v>Watch</v>
      </c>
      <c r="E32" s="12">
        <v>14.5</v>
      </c>
      <c r="F32" s="14" t="s">
        <v>31</v>
      </c>
      <c r="G32" s="15"/>
      <c r="H32" s="15"/>
      <c r="I32" s="16" t="s">
        <v>32</v>
      </c>
      <c r="J32" s="11" t="s">
        <v>33</v>
      </c>
    </row>
    <row r="33" ht="15.75" customHeight="1">
      <c r="A33" s="11" t="s">
        <v>40</v>
      </c>
      <c r="B33" s="11" t="s">
        <v>41</v>
      </c>
      <c r="C33" s="12">
        <v>658.0</v>
      </c>
      <c r="D33" s="13" t="str">
        <f t="shared" si="1"/>
        <v>Watch</v>
      </c>
      <c r="E33" s="12">
        <v>16.0</v>
      </c>
      <c r="F33" s="14" t="s">
        <v>31</v>
      </c>
      <c r="G33" s="15"/>
      <c r="H33" s="15"/>
      <c r="I33" s="16" t="s">
        <v>32</v>
      </c>
      <c r="J33" s="11" t="s">
        <v>33</v>
      </c>
    </row>
    <row r="34" ht="15.75" customHeight="1">
      <c r="A34" s="11" t="s">
        <v>40</v>
      </c>
      <c r="B34" s="11" t="s">
        <v>42</v>
      </c>
      <c r="C34" s="12">
        <v>468.0</v>
      </c>
      <c r="D34" s="13" t="str">
        <f t="shared" si="1"/>
        <v>Watch</v>
      </c>
      <c r="E34" s="12">
        <v>16.0</v>
      </c>
      <c r="F34" s="14" t="s">
        <v>31</v>
      </c>
      <c r="G34" s="15"/>
      <c r="H34" s="15"/>
      <c r="I34" s="16" t="s">
        <v>32</v>
      </c>
      <c r="J34" s="11" t="s">
        <v>33</v>
      </c>
    </row>
    <row r="35" ht="15.75" customHeight="1">
      <c r="A35" s="11" t="s">
        <v>40</v>
      </c>
      <c r="B35" s="11" t="s">
        <v>47</v>
      </c>
      <c r="C35" s="12">
        <v>468.0</v>
      </c>
      <c r="D35" s="13" t="str">
        <f t="shared" si="1"/>
        <v>Watch</v>
      </c>
      <c r="E35" s="12">
        <v>16.0</v>
      </c>
      <c r="F35" s="14" t="s">
        <v>31</v>
      </c>
      <c r="G35" s="15"/>
      <c r="H35" s="15"/>
      <c r="I35" s="16" t="s">
        <v>32</v>
      </c>
      <c r="J35" s="11" t="s">
        <v>33</v>
      </c>
    </row>
    <row r="36" ht="15.75" customHeight="1">
      <c r="A36" s="11" t="s">
        <v>40</v>
      </c>
      <c r="B36" s="11" t="s">
        <v>48</v>
      </c>
      <c r="C36" s="12">
        <v>401.0</v>
      </c>
      <c r="D36" s="13" t="str">
        <f t="shared" si="1"/>
        <v>Watch</v>
      </c>
      <c r="E36" s="12">
        <v>16.0</v>
      </c>
      <c r="F36" s="14" t="s">
        <v>31</v>
      </c>
      <c r="G36" s="15"/>
      <c r="H36" s="15"/>
      <c r="I36" s="16" t="s">
        <v>32</v>
      </c>
      <c r="J36" s="11" t="s">
        <v>33</v>
      </c>
    </row>
    <row r="37" ht="15.75" customHeight="1">
      <c r="A37" s="11" t="s">
        <v>40</v>
      </c>
      <c r="B37" s="11" t="s">
        <v>49</v>
      </c>
      <c r="C37" s="12">
        <v>264.0</v>
      </c>
      <c r="D37" s="13" t="str">
        <f t="shared" si="1"/>
        <v>Watch</v>
      </c>
      <c r="E37" s="12">
        <v>17.5</v>
      </c>
      <c r="F37" s="14" t="s">
        <v>31</v>
      </c>
      <c r="G37" s="15"/>
      <c r="H37" s="15"/>
      <c r="I37" s="16" t="s">
        <v>32</v>
      </c>
      <c r="J37" s="11" t="s">
        <v>33</v>
      </c>
    </row>
    <row r="38" ht="15.75" customHeight="1">
      <c r="A38" s="11" t="s">
        <v>40</v>
      </c>
      <c r="B38" s="11" t="s">
        <v>50</v>
      </c>
      <c r="C38" s="12">
        <v>220.0</v>
      </c>
      <c r="D38" s="13" t="str">
        <f t="shared" si="1"/>
        <v>Watch</v>
      </c>
      <c r="E38" s="12">
        <v>17.5</v>
      </c>
      <c r="F38" s="14" t="s">
        <v>31</v>
      </c>
      <c r="G38" s="15"/>
      <c r="H38" s="15"/>
      <c r="I38" s="16" t="s">
        <v>32</v>
      </c>
      <c r="J38" s="11" t="s">
        <v>33</v>
      </c>
    </row>
    <row r="39" ht="15.75" customHeight="1">
      <c r="A39" s="11" t="s">
        <v>40</v>
      </c>
      <c r="B39" s="11" t="s">
        <v>42</v>
      </c>
      <c r="C39" s="12">
        <v>211.0</v>
      </c>
      <c r="D39" s="13" t="str">
        <f t="shared" si="1"/>
        <v>Watch</v>
      </c>
      <c r="E39" s="12">
        <v>17.5</v>
      </c>
      <c r="F39" s="14" t="s">
        <v>31</v>
      </c>
      <c r="G39" s="15"/>
      <c r="H39" s="15"/>
      <c r="I39" s="16" t="s">
        <v>32</v>
      </c>
      <c r="J39" s="11" t="s">
        <v>33</v>
      </c>
    </row>
    <row r="40" ht="15.75" customHeight="1">
      <c r="A40" s="11" t="s">
        <v>51</v>
      </c>
      <c r="B40" s="11" t="s">
        <v>52</v>
      </c>
      <c r="C40" s="12">
        <v>1300000.0</v>
      </c>
      <c r="D40" s="13" t="str">
        <f t="shared" si="1"/>
        <v>Viral</v>
      </c>
      <c r="E40" s="12">
        <v>20.75</v>
      </c>
      <c r="F40" s="14" t="s">
        <v>31</v>
      </c>
      <c r="G40" s="15"/>
      <c r="H40" s="15"/>
      <c r="I40" s="16" t="s">
        <v>32</v>
      </c>
      <c r="J40" s="11" t="s">
        <v>33</v>
      </c>
    </row>
    <row r="41" ht="15.75" customHeight="1">
      <c r="A41" s="11" t="s">
        <v>51</v>
      </c>
      <c r="B41" s="11" t="s">
        <v>52</v>
      </c>
      <c r="C41" s="12">
        <v>1100000.0</v>
      </c>
      <c r="D41" s="13" t="str">
        <f t="shared" si="1"/>
        <v>Viral</v>
      </c>
      <c r="E41" s="12">
        <v>20.75</v>
      </c>
      <c r="F41" s="14" t="s">
        <v>31</v>
      </c>
      <c r="G41" s="15"/>
      <c r="H41" s="15"/>
      <c r="I41" s="16" t="s">
        <v>32</v>
      </c>
      <c r="J41" s="11" t="s">
        <v>33</v>
      </c>
    </row>
    <row r="42" ht="15.75" customHeight="1">
      <c r="A42" s="11" t="s">
        <v>51</v>
      </c>
      <c r="B42" s="11" t="s">
        <v>52</v>
      </c>
      <c r="C42" s="12">
        <v>424300.0</v>
      </c>
      <c r="D42" s="13" t="str">
        <f t="shared" si="1"/>
        <v>Viral</v>
      </c>
      <c r="E42" s="12">
        <v>20.75</v>
      </c>
      <c r="F42" s="14" t="s">
        <v>31</v>
      </c>
      <c r="G42" s="15"/>
      <c r="H42" s="15"/>
      <c r="I42" s="16" t="s">
        <v>32</v>
      </c>
      <c r="J42" s="11" t="s">
        <v>33</v>
      </c>
    </row>
    <row r="43" ht="15.75" customHeight="1">
      <c r="A43" s="11" t="s">
        <v>51</v>
      </c>
      <c r="B43" s="11" t="s">
        <v>52</v>
      </c>
      <c r="C43" s="12">
        <v>377500.0</v>
      </c>
      <c r="D43" s="13" t="str">
        <f t="shared" si="1"/>
        <v>Viral</v>
      </c>
      <c r="E43" s="12">
        <v>20.75</v>
      </c>
      <c r="F43" s="14" t="s">
        <v>31</v>
      </c>
      <c r="G43" s="15"/>
      <c r="H43" s="15"/>
      <c r="I43" s="16" t="s">
        <v>32</v>
      </c>
      <c r="J43" s="11" t="s">
        <v>33</v>
      </c>
    </row>
    <row r="44" ht="15.75" customHeight="1">
      <c r="A44" s="11" t="s">
        <v>51</v>
      </c>
      <c r="B44" s="11" t="s">
        <v>53</v>
      </c>
      <c r="C44" s="12">
        <v>259700.0</v>
      </c>
      <c r="D44" s="13" t="str">
        <f t="shared" si="1"/>
        <v>Viral</v>
      </c>
      <c r="E44" s="12">
        <v>23.0</v>
      </c>
      <c r="F44" s="14" t="s">
        <v>31</v>
      </c>
      <c r="G44" s="15"/>
      <c r="H44" s="15"/>
      <c r="I44" s="16" t="s">
        <v>32</v>
      </c>
      <c r="J44" s="11" t="s">
        <v>33</v>
      </c>
    </row>
    <row r="45" ht="15.75" customHeight="1">
      <c r="A45" s="11" t="s">
        <v>51</v>
      </c>
      <c r="B45" s="11" t="s">
        <v>54</v>
      </c>
      <c r="C45" s="12">
        <v>196500.0</v>
      </c>
      <c r="D45" s="13" t="str">
        <f t="shared" si="1"/>
        <v>Viral</v>
      </c>
      <c r="E45" s="12">
        <v>23.0</v>
      </c>
      <c r="F45" s="14" t="s">
        <v>31</v>
      </c>
      <c r="G45" s="15"/>
      <c r="H45" s="15"/>
      <c r="I45" s="16" t="s">
        <v>32</v>
      </c>
      <c r="J45" s="11" t="s">
        <v>33</v>
      </c>
    </row>
    <row r="46" ht="15.75" customHeight="1">
      <c r="A46" s="11" t="s">
        <v>51</v>
      </c>
      <c r="B46" s="11" t="s">
        <v>55</v>
      </c>
      <c r="C46" s="12">
        <v>54000.0</v>
      </c>
      <c r="D46" s="13" t="str">
        <f t="shared" si="1"/>
        <v>Strong</v>
      </c>
      <c r="E46" s="12">
        <v>23.0</v>
      </c>
      <c r="F46" s="14" t="s">
        <v>31</v>
      </c>
      <c r="G46" s="15"/>
      <c r="H46" s="15"/>
      <c r="I46" s="16" t="s">
        <v>32</v>
      </c>
      <c r="J46" s="11" t="s">
        <v>33</v>
      </c>
    </row>
    <row r="47" ht="15.75" customHeight="1">
      <c r="A47" s="11" t="s">
        <v>51</v>
      </c>
      <c r="B47" s="11" t="s">
        <v>56</v>
      </c>
      <c r="C47" s="12">
        <v>34000.0</v>
      </c>
      <c r="D47" s="13" t="str">
        <f t="shared" si="1"/>
        <v>Strong</v>
      </c>
      <c r="E47" s="12">
        <v>23.0</v>
      </c>
      <c r="F47" s="14" t="s">
        <v>31</v>
      </c>
      <c r="G47" s="15"/>
      <c r="H47" s="15"/>
      <c r="I47" s="16" t="s">
        <v>32</v>
      </c>
      <c r="J47" s="11" t="s">
        <v>33</v>
      </c>
    </row>
    <row r="48" ht="15.75" customHeight="1">
      <c r="A48" s="11" t="s">
        <v>51</v>
      </c>
      <c r="B48" s="11" t="s">
        <v>57</v>
      </c>
      <c r="C48" s="12">
        <v>30800.0</v>
      </c>
      <c r="D48" s="13" t="str">
        <f t="shared" si="1"/>
        <v>Strong</v>
      </c>
      <c r="E48" s="12">
        <v>23.0</v>
      </c>
      <c r="F48" s="14" t="s">
        <v>31</v>
      </c>
      <c r="G48" s="15"/>
      <c r="H48" s="15"/>
      <c r="I48" s="16" t="s">
        <v>32</v>
      </c>
      <c r="J48" s="11" t="s">
        <v>33</v>
      </c>
    </row>
    <row r="49" ht="15.75" customHeight="1">
      <c r="A49" s="11" t="s">
        <v>51</v>
      </c>
      <c r="B49" s="11" t="s">
        <v>58</v>
      </c>
      <c r="C49" s="12">
        <v>29600.0</v>
      </c>
      <c r="D49" s="13" t="str">
        <f t="shared" si="1"/>
        <v>Strong</v>
      </c>
      <c r="E49" s="12">
        <v>25.0</v>
      </c>
      <c r="F49" s="14" t="s">
        <v>59</v>
      </c>
      <c r="G49" s="15"/>
      <c r="H49" s="15"/>
      <c r="I49" s="16" t="s">
        <v>32</v>
      </c>
      <c r="J49" s="11" t="s">
        <v>60</v>
      </c>
    </row>
    <row r="50" ht="15.75" customHeight="1">
      <c r="A50" s="11" t="s">
        <v>51</v>
      </c>
      <c r="B50" s="11" t="s">
        <v>61</v>
      </c>
      <c r="C50" s="12">
        <v>29100.0</v>
      </c>
      <c r="D50" s="13" t="str">
        <f t="shared" si="1"/>
        <v>Strong</v>
      </c>
      <c r="E50" s="12">
        <v>26.5</v>
      </c>
      <c r="F50" s="14" t="s">
        <v>31</v>
      </c>
      <c r="G50" s="15"/>
      <c r="H50" s="15"/>
      <c r="I50" s="16" t="s">
        <v>32</v>
      </c>
      <c r="J50" s="11" t="s">
        <v>33</v>
      </c>
    </row>
    <row r="51" ht="15.75" customHeight="1">
      <c r="A51" s="11" t="s">
        <v>51</v>
      </c>
      <c r="B51" s="11" t="s">
        <v>44</v>
      </c>
      <c r="C51" s="12">
        <v>25000.0</v>
      </c>
      <c r="D51" s="13" t="str">
        <f t="shared" si="1"/>
        <v>Strong</v>
      </c>
      <c r="E51" s="12">
        <v>26.5</v>
      </c>
      <c r="F51" s="14" t="s">
        <v>31</v>
      </c>
      <c r="G51" s="15"/>
      <c r="H51" s="15"/>
      <c r="I51" s="16" t="s">
        <v>32</v>
      </c>
      <c r="J51" s="11" t="s">
        <v>33</v>
      </c>
    </row>
    <row r="52" ht="15.75" customHeight="1">
      <c r="A52" s="11" t="s">
        <v>51</v>
      </c>
      <c r="B52" s="11" t="s">
        <v>62</v>
      </c>
      <c r="C52" s="12">
        <v>23300.0</v>
      </c>
      <c r="D52" s="13" t="str">
        <f t="shared" si="1"/>
        <v>Strong</v>
      </c>
      <c r="E52" s="12">
        <v>26.5</v>
      </c>
      <c r="F52" s="14" t="s">
        <v>31</v>
      </c>
      <c r="G52" s="15"/>
      <c r="H52" s="15"/>
      <c r="I52" s="16" t="s">
        <v>32</v>
      </c>
      <c r="J52" s="11" t="s">
        <v>33</v>
      </c>
    </row>
    <row r="53" ht="15.75" customHeight="1">
      <c r="A53" s="11" t="s">
        <v>51</v>
      </c>
      <c r="B53" s="11" t="s">
        <v>44</v>
      </c>
      <c r="C53" s="12">
        <v>18900.0</v>
      </c>
      <c r="D53" s="13" t="str">
        <f t="shared" si="1"/>
        <v>Strong</v>
      </c>
      <c r="E53" s="12">
        <v>26.5</v>
      </c>
      <c r="F53" s="14" t="s">
        <v>31</v>
      </c>
      <c r="G53" s="15"/>
      <c r="H53" s="15"/>
      <c r="I53" s="16" t="s">
        <v>32</v>
      </c>
      <c r="J53" s="11" t="s">
        <v>33</v>
      </c>
    </row>
    <row r="54" ht="15.75" customHeight="1">
      <c r="A54" s="11" t="s">
        <v>51</v>
      </c>
      <c r="B54" s="11" t="s">
        <v>63</v>
      </c>
      <c r="C54" s="12">
        <v>18900.0</v>
      </c>
      <c r="D54" s="13" t="str">
        <f t="shared" si="1"/>
        <v>Strong</v>
      </c>
      <c r="E54" s="12">
        <v>26.5</v>
      </c>
      <c r="F54" s="14" t="s">
        <v>31</v>
      </c>
      <c r="G54" s="15"/>
      <c r="H54" s="15"/>
      <c r="I54" s="16" t="s">
        <v>32</v>
      </c>
      <c r="J54" s="11" t="s">
        <v>33</v>
      </c>
    </row>
    <row r="55" ht="15.75" customHeight="1">
      <c r="A55" s="11" t="s">
        <v>64</v>
      </c>
      <c r="B55" s="11" t="s">
        <v>65</v>
      </c>
      <c r="C55" s="12">
        <v>56800.0</v>
      </c>
      <c r="D55" s="13" t="str">
        <f t="shared" si="1"/>
        <v>Strong</v>
      </c>
      <c r="E55" s="12">
        <v>28.25</v>
      </c>
      <c r="F55" s="14" t="s">
        <v>31</v>
      </c>
      <c r="G55" s="15"/>
      <c r="H55" s="15"/>
      <c r="I55" s="16" t="s">
        <v>32</v>
      </c>
      <c r="J55" s="11" t="s">
        <v>33</v>
      </c>
    </row>
    <row r="56" ht="15.75" customHeight="1">
      <c r="A56" s="11" t="s">
        <v>64</v>
      </c>
      <c r="B56" s="11" t="s">
        <v>65</v>
      </c>
      <c r="C56" s="12">
        <v>33600.0</v>
      </c>
      <c r="D56" s="13" t="str">
        <f t="shared" si="1"/>
        <v>Strong</v>
      </c>
      <c r="E56" s="12">
        <v>28.25</v>
      </c>
      <c r="F56" s="14" t="s">
        <v>31</v>
      </c>
      <c r="G56" s="15"/>
      <c r="H56" s="15"/>
      <c r="I56" s="16" t="s">
        <v>32</v>
      </c>
      <c r="J56" s="11" t="s">
        <v>33</v>
      </c>
    </row>
    <row r="57" ht="15.75" customHeight="1">
      <c r="A57" s="11" t="s">
        <v>64</v>
      </c>
      <c r="B57" s="11" t="s">
        <v>66</v>
      </c>
      <c r="C57" s="12"/>
      <c r="D57" s="13" t="str">
        <f t="shared" si="1"/>
        <v>Verify</v>
      </c>
      <c r="E57" s="12">
        <v>28.25</v>
      </c>
      <c r="F57" s="14" t="s">
        <v>35</v>
      </c>
      <c r="G57" s="15"/>
      <c r="H57" s="15"/>
      <c r="I57" s="16" t="s">
        <v>32</v>
      </c>
      <c r="J57" s="11" t="s">
        <v>33</v>
      </c>
    </row>
    <row r="58" ht="15.75" customHeight="1">
      <c r="A58" s="11" t="s">
        <v>64</v>
      </c>
      <c r="B58" s="11" t="s">
        <v>67</v>
      </c>
      <c r="C58" s="12">
        <v>18800.0</v>
      </c>
      <c r="D58" s="13" t="str">
        <f t="shared" si="1"/>
        <v>Strong</v>
      </c>
      <c r="E58" s="12">
        <v>28.25</v>
      </c>
      <c r="F58" s="14" t="s">
        <v>31</v>
      </c>
      <c r="G58" s="15"/>
      <c r="H58" s="15"/>
      <c r="I58" s="16" t="s">
        <v>32</v>
      </c>
      <c r="J58" s="11" t="s">
        <v>33</v>
      </c>
    </row>
    <row r="59" ht="15.75" customHeight="1">
      <c r="A59" s="11" t="s">
        <v>64</v>
      </c>
      <c r="B59" s="11" t="s">
        <v>68</v>
      </c>
      <c r="C59" s="12">
        <v>18200.0</v>
      </c>
      <c r="D59" s="13" t="str">
        <f t="shared" si="1"/>
        <v>Strong</v>
      </c>
      <c r="E59" s="12">
        <v>28.25</v>
      </c>
      <c r="F59" s="14" t="s">
        <v>31</v>
      </c>
      <c r="G59" s="15"/>
      <c r="H59" s="15"/>
      <c r="I59" s="16" t="s">
        <v>32</v>
      </c>
      <c r="J59" s="11" t="s">
        <v>33</v>
      </c>
    </row>
    <row r="60" ht="15.75" customHeight="1">
      <c r="A60" s="11" t="s">
        <v>64</v>
      </c>
      <c r="B60" s="11" t="s">
        <v>69</v>
      </c>
      <c r="C60" s="12">
        <v>13700.0</v>
      </c>
      <c r="D60" s="13" t="str">
        <f t="shared" si="1"/>
        <v>Strong</v>
      </c>
      <c r="E60" s="12">
        <v>30.5</v>
      </c>
      <c r="F60" s="14" t="s">
        <v>31</v>
      </c>
      <c r="G60" s="15"/>
      <c r="H60" s="15"/>
      <c r="I60" s="16" t="s">
        <v>32</v>
      </c>
      <c r="J60" s="11" t="s">
        <v>33</v>
      </c>
    </row>
    <row r="61" ht="15.75" customHeight="1">
      <c r="A61" s="11" t="s">
        <v>64</v>
      </c>
      <c r="B61" s="11" t="s">
        <v>70</v>
      </c>
      <c r="C61" s="12">
        <v>12700.0</v>
      </c>
      <c r="D61" s="13" t="str">
        <f t="shared" si="1"/>
        <v>Strong</v>
      </c>
      <c r="E61" s="12">
        <v>30.5</v>
      </c>
      <c r="F61" s="14" t="s">
        <v>31</v>
      </c>
      <c r="G61" s="15"/>
      <c r="H61" s="15"/>
      <c r="I61" s="16" t="s">
        <v>32</v>
      </c>
      <c r="J61" s="11" t="s">
        <v>33</v>
      </c>
    </row>
    <row r="62" ht="15.75" customHeight="1">
      <c r="A62" s="11" t="s">
        <v>64</v>
      </c>
      <c r="B62" s="11" t="s">
        <v>66</v>
      </c>
      <c r="C62" s="12">
        <v>10300.0</v>
      </c>
      <c r="D62" s="13" t="str">
        <f t="shared" si="1"/>
        <v>Strong</v>
      </c>
      <c r="E62" s="12">
        <v>30.5</v>
      </c>
      <c r="F62" s="14" t="s">
        <v>31</v>
      </c>
      <c r="G62" s="15"/>
      <c r="H62" s="15"/>
      <c r="I62" s="16" t="s">
        <v>32</v>
      </c>
      <c r="J62" s="11" t="s">
        <v>33</v>
      </c>
    </row>
    <row r="63" ht="15.75" customHeight="1">
      <c r="A63" s="11" t="s">
        <v>64</v>
      </c>
      <c r="B63" s="11" t="s">
        <v>67</v>
      </c>
      <c r="C63" s="12">
        <v>10100.0</v>
      </c>
      <c r="D63" s="13" t="str">
        <f t="shared" si="1"/>
        <v>Strong</v>
      </c>
      <c r="E63" s="12">
        <v>30.5</v>
      </c>
      <c r="F63" s="14" t="s">
        <v>31</v>
      </c>
      <c r="G63" s="15"/>
      <c r="H63" s="15"/>
      <c r="I63" s="16" t="s">
        <v>32</v>
      </c>
      <c r="J63" s="11" t="s">
        <v>33</v>
      </c>
    </row>
    <row r="64" ht="15.75" customHeight="1">
      <c r="A64" s="11" t="s">
        <v>64</v>
      </c>
      <c r="B64" s="11" t="s">
        <v>71</v>
      </c>
      <c r="C64" s="12">
        <v>9000.0</v>
      </c>
      <c r="D64" s="13" t="str">
        <f t="shared" si="1"/>
        <v>Proven</v>
      </c>
      <c r="E64" s="12">
        <v>32.5</v>
      </c>
      <c r="F64" s="14" t="s">
        <v>31</v>
      </c>
      <c r="G64" s="15"/>
      <c r="H64" s="15"/>
      <c r="I64" s="16" t="s">
        <v>32</v>
      </c>
      <c r="J64" s="11" t="s">
        <v>33</v>
      </c>
    </row>
    <row r="65" ht="15.75" customHeight="1">
      <c r="A65" s="11" t="s">
        <v>64</v>
      </c>
      <c r="B65" s="11" t="s">
        <v>69</v>
      </c>
      <c r="C65" s="12">
        <v>8400.0</v>
      </c>
      <c r="D65" s="13" t="str">
        <f t="shared" si="1"/>
        <v>Proven</v>
      </c>
      <c r="E65" s="12">
        <v>32.5</v>
      </c>
      <c r="F65" s="14" t="s">
        <v>31</v>
      </c>
      <c r="G65" s="15"/>
      <c r="H65" s="15"/>
      <c r="I65" s="16" t="s">
        <v>32</v>
      </c>
      <c r="J65" s="11" t="s">
        <v>33</v>
      </c>
    </row>
    <row r="66" ht="15.75" customHeight="1">
      <c r="A66" s="11" t="s">
        <v>64</v>
      </c>
      <c r="B66" s="11" t="s">
        <v>72</v>
      </c>
      <c r="C66" s="12">
        <v>8200.0</v>
      </c>
      <c r="D66" s="13" t="str">
        <f t="shared" si="1"/>
        <v>Proven</v>
      </c>
      <c r="E66" s="12">
        <v>32.5</v>
      </c>
      <c r="F66" s="14" t="s">
        <v>31</v>
      </c>
      <c r="G66" s="15"/>
      <c r="H66" s="15"/>
      <c r="I66" s="16" t="s">
        <v>32</v>
      </c>
      <c r="J66" s="11" t="s">
        <v>33</v>
      </c>
    </row>
    <row r="67" ht="15.75" customHeight="1">
      <c r="A67" s="11" t="s">
        <v>64</v>
      </c>
      <c r="B67" s="11" t="s">
        <v>73</v>
      </c>
      <c r="C67" s="12">
        <v>8000.0</v>
      </c>
      <c r="D67" s="13" t="str">
        <f t="shared" si="1"/>
        <v>Proven</v>
      </c>
      <c r="E67" s="12">
        <v>32.5</v>
      </c>
      <c r="F67" s="14" t="s">
        <v>31</v>
      </c>
      <c r="G67" s="15"/>
      <c r="H67" s="15"/>
      <c r="I67" s="16" t="s">
        <v>32</v>
      </c>
      <c r="J67" s="11" t="s">
        <v>33</v>
      </c>
    </row>
    <row r="68" ht="15.75" customHeight="1">
      <c r="A68" s="11" t="s">
        <v>64</v>
      </c>
      <c r="B68" s="11" t="s">
        <v>74</v>
      </c>
      <c r="C68" s="12">
        <v>8000.0</v>
      </c>
      <c r="D68" s="13" t="str">
        <f t="shared" si="1"/>
        <v>Proven</v>
      </c>
      <c r="E68" s="12">
        <v>34.5</v>
      </c>
      <c r="F68" s="14" t="s">
        <v>35</v>
      </c>
      <c r="G68" s="15"/>
      <c r="H68" s="15"/>
      <c r="I68" s="16" t="s">
        <v>32</v>
      </c>
      <c r="J68" s="11" t="s">
        <v>33</v>
      </c>
    </row>
    <row r="69" ht="15.75" customHeight="1">
      <c r="A69" s="11" t="s">
        <v>64</v>
      </c>
      <c r="B69" s="11" t="s">
        <v>65</v>
      </c>
      <c r="C69" s="12">
        <v>6800.0</v>
      </c>
      <c r="D69" s="13" t="str">
        <f t="shared" si="1"/>
        <v>Proven</v>
      </c>
      <c r="E69" s="12">
        <v>34.5</v>
      </c>
      <c r="F69" s="14" t="s">
        <v>31</v>
      </c>
      <c r="G69" s="15"/>
      <c r="H69" s="15"/>
      <c r="I69" s="16" t="s">
        <v>32</v>
      </c>
      <c r="J69" s="11" t="s">
        <v>33</v>
      </c>
    </row>
    <row r="70" ht="15.75" customHeight="1">
      <c r="A70" s="11" t="s">
        <v>64</v>
      </c>
      <c r="B70" s="11" t="s">
        <v>75</v>
      </c>
      <c r="C70" s="12">
        <v>5400.0</v>
      </c>
      <c r="D70" s="13" t="str">
        <f t="shared" si="1"/>
        <v>Proven</v>
      </c>
      <c r="E70" s="12">
        <v>34.5</v>
      </c>
      <c r="F70" s="14" t="s">
        <v>31</v>
      </c>
      <c r="G70" s="15"/>
      <c r="H70" s="15"/>
      <c r="I70" s="16" t="s">
        <v>32</v>
      </c>
      <c r="J70" s="11" t="s">
        <v>33</v>
      </c>
    </row>
    <row r="71" ht="15.75" customHeight="1">
      <c r="A71" s="11" t="s">
        <v>64</v>
      </c>
      <c r="B71" s="11" t="s">
        <v>76</v>
      </c>
      <c r="C71" s="12">
        <v>5200.0</v>
      </c>
      <c r="D71" s="13" t="str">
        <f t="shared" si="1"/>
        <v>Proven</v>
      </c>
      <c r="E71" s="12">
        <v>34.5</v>
      </c>
      <c r="F71" s="14" t="s">
        <v>31</v>
      </c>
      <c r="G71" s="15"/>
      <c r="H71" s="15"/>
      <c r="I71" s="16" t="s">
        <v>32</v>
      </c>
      <c r="J71" s="11" t="s">
        <v>33</v>
      </c>
    </row>
    <row r="72" ht="15.75" customHeight="1">
      <c r="A72" s="11" t="s">
        <v>64</v>
      </c>
      <c r="B72" s="11" t="s">
        <v>77</v>
      </c>
      <c r="C72" s="12">
        <v>5000.0</v>
      </c>
      <c r="D72" s="13" t="str">
        <f t="shared" si="1"/>
        <v>Proven</v>
      </c>
      <c r="E72" s="12">
        <v>35.5</v>
      </c>
      <c r="F72" s="14" t="s">
        <v>35</v>
      </c>
      <c r="G72" s="15"/>
      <c r="H72" s="15"/>
      <c r="I72" s="16" t="s">
        <v>32</v>
      </c>
      <c r="J72" s="11" t="s">
        <v>33</v>
      </c>
    </row>
    <row r="73" ht="15.75" customHeight="1">
      <c r="A73" s="11" t="s">
        <v>64</v>
      </c>
      <c r="B73" s="11" t="s">
        <v>78</v>
      </c>
      <c r="C73" s="12">
        <v>4900.0</v>
      </c>
      <c r="D73" s="13" t="str">
        <f t="shared" si="1"/>
        <v>Proven</v>
      </c>
      <c r="E73" s="12">
        <v>35.5</v>
      </c>
      <c r="F73" s="14" t="s">
        <v>35</v>
      </c>
      <c r="G73" s="15"/>
      <c r="H73" s="15"/>
      <c r="I73" s="16" t="s">
        <v>32</v>
      </c>
      <c r="J73" s="11" t="s">
        <v>33</v>
      </c>
    </row>
    <row r="74" ht="15.75" customHeight="1">
      <c r="A74" s="11" t="s">
        <v>79</v>
      </c>
      <c r="B74" s="11" t="s">
        <v>80</v>
      </c>
      <c r="C74" s="12">
        <v>51600.0</v>
      </c>
      <c r="D74" s="13" t="str">
        <f t="shared" si="1"/>
        <v>Strong</v>
      </c>
      <c r="E74" s="12">
        <v>37.5</v>
      </c>
      <c r="F74" s="14" t="s">
        <v>31</v>
      </c>
      <c r="G74" s="15"/>
      <c r="H74" s="15"/>
      <c r="I74" s="16" t="s">
        <v>32</v>
      </c>
      <c r="J74" s="11" t="s">
        <v>33</v>
      </c>
    </row>
    <row r="75" ht="15.75" customHeight="1">
      <c r="A75" s="11" t="s">
        <v>79</v>
      </c>
      <c r="B75" s="11" t="s">
        <v>81</v>
      </c>
      <c r="C75" s="12">
        <v>48500.0</v>
      </c>
      <c r="D75" s="13" t="str">
        <f t="shared" si="1"/>
        <v>Strong</v>
      </c>
      <c r="E75" s="12">
        <v>37.5</v>
      </c>
      <c r="F75" s="14" t="s">
        <v>31</v>
      </c>
      <c r="G75" s="15"/>
      <c r="H75" s="15"/>
      <c r="I75" s="16" t="s">
        <v>32</v>
      </c>
      <c r="J75" s="11" t="s">
        <v>33</v>
      </c>
    </row>
    <row r="76" ht="15.75" customHeight="1">
      <c r="A76" s="11" t="s">
        <v>79</v>
      </c>
      <c r="B76" s="11" t="s">
        <v>82</v>
      </c>
      <c r="C76" s="12">
        <v>37300.0</v>
      </c>
      <c r="D76" s="13" t="str">
        <f t="shared" si="1"/>
        <v>Strong</v>
      </c>
      <c r="E76" s="12">
        <v>37.5</v>
      </c>
      <c r="F76" s="14" t="s">
        <v>35</v>
      </c>
      <c r="G76" s="15"/>
      <c r="H76" s="15"/>
      <c r="I76" s="16" t="s">
        <v>32</v>
      </c>
      <c r="J76" s="11" t="s">
        <v>33</v>
      </c>
    </row>
    <row r="77" ht="15.75" customHeight="1">
      <c r="A77" s="11" t="s">
        <v>79</v>
      </c>
      <c r="B77" s="11" t="s">
        <v>80</v>
      </c>
      <c r="C77" s="12">
        <v>31800.0</v>
      </c>
      <c r="D77" s="13" t="str">
        <f t="shared" si="1"/>
        <v>Strong</v>
      </c>
      <c r="E77" s="12">
        <v>37.5</v>
      </c>
      <c r="F77" s="14" t="s">
        <v>31</v>
      </c>
      <c r="G77" s="15"/>
      <c r="H77" s="15"/>
      <c r="I77" s="16" t="s">
        <v>32</v>
      </c>
      <c r="J77" s="11" t="s">
        <v>33</v>
      </c>
    </row>
    <row r="78" ht="15.75" customHeight="1">
      <c r="A78" s="11" t="s">
        <v>79</v>
      </c>
      <c r="B78" s="11" t="s">
        <v>83</v>
      </c>
      <c r="C78" s="12">
        <v>32000.0</v>
      </c>
      <c r="D78" s="13" t="str">
        <f t="shared" si="1"/>
        <v>Strong</v>
      </c>
      <c r="E78" s="12">
        <v>37.5</v>
      </c>
      <c r="F78" s="14" t="s">
        <v>31</v>
      </c>
      <c r="G78" s="15"/>
      <c r="H78" s="15"/>
      <c r="I78" s="16" t="s">
        <v>32</v>
      </c>
      <c r="J78" s="11" t="s">
        <v>33</v>
      </c>
    </row>
    <row r="79" ht="15.75" customHeight="1">
      <c r="A79" s="11" t="s">
        <v>79</v>
      </c>
      <c r="B79" s="11" t="s">
        <v>84</v>
      </c>
      <c r="C79" s="12">
        <v>21100.0</v>
      </c>
      <c r="D79" s="13" t="str">
        <f t="shared" si="1"/>
        <v>Strong</v>
      </c>
      <c r="E79" s="12">
        <v>40.0</v>
      </c>
      <c r="F79" s="14" t="s">
        <v>35</v>
      </c>
      <c r="G79" s="15"/>
      <c r="H79" s="15"/>
      <c r="I79" s="16" t="s">
        <v>32</v>
      </c>
      <c r="J79" s="11" t="s">
        <v>33</v>
      </c>
    </row>
    <row r="80" ht="15.75" customHeight="1">
      <c r="A80" s="11" t="s">
        <v>79</v>
      </c>
      <c r="B80" s="11" t="s">
        <v>85</v>
      </c>
      <c r="C80" s="12">
        <v>19700.0</v>
      </c>
      <c r="D80" s="13" t="str">
        <f t="shared" si="1"/>
        <v>Strong</v>
      </c>
      <c r="E80" s="12">
        <v>40.0</v>
      </c>
      <c r="F80" s="14" t="s">
        <v>31</v>
      </c>
      <c r="G80" s="15"/>
      <c r="H80" s="15"/>
      <c r="I80" s="16" t="s">
        <v>32</v>
      </c>
      <c r="J80" s="11" t="s">
        <v>33</v>
      </c>
    </row>
    <row r="81" ht="15.75" customHeight="1">
      <c r="A81" s="11" t="s">
        <v>79</v>
      </c>
      <c r="B81" s="11" t="s">
        <v>86</v>
      </c>
      <c r="C81" s="12">
        <v>16500.0</v>
      </c>
      <c r="D81" s="13" t="str">
        <f t="shared" si="1"/>
        <v>Strong</v>
      </c>
      <c r="E81" s="12">
        <v>40.0</v>
      </c>
      <c r="F81" s="14" t="s">
        <v>31</v>
      </c>
      <c r="G81" s="15"/>
      <c r="H81" s="15"/>
      <c r="I81" s="16" t="s">
        <v>32</v>
      </c>
      <c r="J81" s="11" t="s">
        <v>33</v>
      </c>
    </row>
    <row r="82" ht="15.75" customHeight="1">
      <c r="A82" s="11" t="s">
        <v>79</v>
      </c>
      <c r="B82" s="11" t="s">
        <v>87</v>
      </c>
      <c r="C82" s="12">
        <v>15600.0</v>
      </c>
      <c r="D82" s="13" t="str">
        <f t="shared" si="1"/>
        <v>Strong</v>
      </c>
      <c r="E82" s="12">
        <v>40.0</v>
      </c>
      <c r="F82" s="14" t="s">
        <v>31</v>
      </c>
      <c r="G82" s="15"/>
      <c r="H82" s="15"/>
      <c r="I82" s="16" t="s">
        <v>32</v>
      </c>
      <c r="J82" s="11" t="s">
        <v>33</v>
      </c>
    </row>
    <row r="83" ht="15.75" customHeight="1">
      <c r="A83" s="11" t="s">
        <v>79</v>
      </c>
      <c r="B83" s="11" t="s">
        <v>85</v>
      </c>
      <c r="C83" s="12">
        <v>14500.0</v>
      </c>
      <c r="D83" s="13" t="str">
        <f t="shared" si="1"/>
        <v>Strong</v>
      </c>
      <c r="E83" s="12">
        <v>42.0</v>
      </c>
      <c r="F83" s="14" t="s">
        <v>31</v>
      </c>
      <c r="G83" s="15"/>
      <c r="H83" s="15"/>
      <c r="I83" s="16" t="s">
        <v>32</v>
      </c>
      <c r="J83" s="11" t="s">
        <v>33</v>
      </c>
    </row>
    <row r="84" ht="15.75" customHeight="1">
      <c r="A84" s="11" t="s">
        <v>79</v>
      </c>
      <c r="B84" s="11" t="s">
        <v>88</v>
      </c>
      <c r="C84" s="12">
        <v>14400.0</v>
      </c>
      <c r="D84" s="13" t="str">
        <f t="shared" si="1"/>
        <v>Strong</v>
      </c>
      <c r="E84" s="12">
        <v>42.0</v>
      </c>
      <c r="F84" s="14" t="s">
        <v>31</v>
      </c>
      <c r="G84" s="15"/>
      <c r="H84" s="15"/>
      <c r="I84" s="16" t="s">
        <v>32</v>
      </c>
      <c r="J84" s="11" t="s">
        <v>33</v>
      </c>
    </row>
    <row r="85" ht="15.75" customHeight="1">
      <c r="A85" s="11" t="s">
        <v>79</v>
      </c>
      <c r="B85" s="11" t="s">
        <v>89</v>
      </c>
      <c r="C85" s="12">
        <v>10900.0</v>
      </c>
      <c r="D85" s="13" t="str">
        <f t="shared" si="1"/>
        <v>Strong</v>
      </c>
      <c r="E85" s="12">
        <v>42.0</v>
      </c>
      <c r="F85" s="14" t="s">
        <v>35</v>
      </c>
      <c r="G85" s="15"/>
      <c r="H85" s="15"/>
      <c r="I85" s="16" t="s">
        <v>32</v>
      </c>
      <c r="J85" s="11" t="s">
        <v>33</v>
      </c>
    </row>
    <row r="86" ht="15.75" customHeight="1">
      <c r="A86" s="11" t="s">
        <v>79</v>
      </c>
      <c r="B86" s="11" t="s">
        <v>90</v>
      </c>
      <c r="C86" s="12">
        <v>10500.0</v>
      </c>
      <c r="D86" s="13" t="str">
        <f t="shared" si="1"/>
        <v>Strong</v>
      </c>
      <c r="E86" s="12">
        <v>42.0</v>
      </c>
      <c r="F86" s="14" t="s">
        <v>31</v>
      </c>
      <c r="G86" s="15"/>
      <c r="H86" s="15"/>
      <c r="I86" s="16" t="s">
        <v>32</v>
      </c>
      <c r="J86" s="11" t="s">
        <v>33</v>
      </c>
    </row>
    <row r="87" ht="15.75" customHeight="1">
      <c r="A87" s="11" t="s">
        <v>79</v>
      </c>
      <c r="B87" s="11" t="s">
        <v>84</v>
      </c>
      <c r="C87" s="12">
        <v>10200.0</v>
      </c>
      <c r="D87" s="13" t="str">
        <f t="shared" si="1"/>
        <v>Strong</v>
      </c>
      <c r="E87" s="12">
        <v>44.0</v>
      </c>
      <c r="F87" s="14" t="s">
        <v>35</v>
      </c>
      <c r="G87" s="15"/>
      <c r="H87" s="15"/>
      <c r="I87" s="16" t="s">
        <v>32</v>
      </c>
      <c r="J87" s="11" t="s">
        <v>33</v>
      </c>
    </row>
    <row r="88" ht="15.75" customHeight="1">
      <c r="A88" s="11" t="s">
        <v>79</v>
      </c>
      <c r="B88" s="11" t="s">
        <v>86</v>
      </c>
      <c r="C88" s="12">
        <v>9600.0</v>
      </c>
      <c r="D88" s="13" t="str">
        <f t="shared" si="1"/>
        <v>Proven</v>
      </c>
      <c r="E88" s="12">
        <v>44.0</v>
      </c>
      <c r="F88" s="14" t="s">
        <v>31</v>
      </c>
      <c r="G88" s="15"/>
      <c r="H88" s="15"/>
      <c r="I88" s="16" t="s">
        <v>32</v>
      </c>
      <c r="J88" s="11" t="s">
        <v>33</v>
      </c>
    </row>
    <row r="89" ht="15.75" customHeight="1">
      <c r="A89" s="11" t="s">
        <v>79</v>
      </c>
      <c r="B89" s="11" t="s">
        <v>58</v>
      </c>
      <c r="C89" s="12">
        <v>13200.0</v>
      </c>
      <c r="D89" s="13" t="str">
        <f t="shared" si="1"/>
        <v>Strong</v>
      </c>
      <c r="E89" s="12">
        <v>44.0</v>
      </c>
      <c r="F89" s="14" t="s">
        <v>59</v>
      </c>
      <c r="G89" s="15"/>
      <c r="H89" s="15"/>
      <c r="I89" s="16" t="s">
        <v>32</v>
      </c>
      <c r="J89" s="11" t="s">
        <v>60</v>
      </c>
    </row>
    <row r="90" ht="15.75" customHeight="1">
      <c r="A90" s="11" t="s">
        <v>79</v>
      </c>
      <c r="B90" s="11" t="s">
        <v>88</v>
      </c>
      <c r="C90" s="12">
        <v>9300.0</v>
      </c>
      <c r="D90" s="13" t="str">
        <f t="shared" si="1"/>
        <v>Proven</v>
      </c>
      <c r="E90" s="12">
        <v>44.0</v>
      </c>
      <c r="F90" s="14" t="s">
        <v>31</v>
      </c>
      <c r="G90" s="15"/>
      <c r="H90" s="15"/>
      <c r="I90" s="16" t="s">
        <v>32</v>
      </c>
      <c r="J90" s="11" t="s">
        <v>33</v>
      </c>
    </row>
    <row r="91" ht="15.75" customHeight="1">
      <c r="A91" s="11" t="s">
        <v>79</v>
      </c>
      <c r="B91" s="11" t="s">
        <v>91</v>
      </c>
      <c r="C91" s="12">
        <v>8900.0</v>
      </c>
      <c r="D91" s="13" t="str">
        <f t="shared" si="1"/>
        <v>Proven</v>
      </c>
      <c r="E91" s="12">
        <v>48.0</v>
      </c>
      <c r="F91" s="14" t="s">
        <v>59</v>
      </c>
      <c r="G91" s="15"/>
      <c r="H91" s="15"/>
      <c r="I91" s="16" t="s">
        <v>32</v>
      </c>
      <c r="J91" s="11" t="s">
        <v>60</v>
      </c>
    </row>
    <row r="92" ht="15.75" customHeight="1">
      <c r="A92" s="11" t="s">
        <v>92</v>
      </c>
      <c r="B92" s="11" t="s">
        <v>93</v>
      </c>
      <c r="C92" s="12">
        <v>2600.0</v>
      </c>
      <c r="D92" s="13" t="str">
        <f t="shared" si="1"/>
        <v>Proven</v>
      </c>
      <c r="E92" s="12">
        <v>50.5</v>
      </c>
      <c r="F92" s="14" t="s">
        <v>31</v>
      </c>
      <c r="G92" s="15"/>
      <c r="H92" s="15"/>
      <c r="I92" s="16" t="s">
        <v>32</v>
      </c>
      <c r="J92" s="11" t="s">
        <v>33</v>
      </c>
    </row>
    <row r="93" ht="15.75" customHeight="1">
      <c r="A93" s="11" t="s">
        <v>92</v>
      </c>
      <c r="B93" s="11" t="s">
        <v>58</v>
      </c>
      <c r="C93" s="12">
        <v>2100.0</v>
      </c>
      <c r="D93" s="13" t="str">
        <f t="shared" si="1"/>
        <v>Proven</v>
      </c>
      <c r="E93" s="12">
        <v>50.5</v>
      </c>
      <c r="F93" s="14" t="s">
        <v>59</v>
      </c>
      <c r="G93" s="15"/>
      <c r="H93" s="15"/>
      <c r="I93" s="16" t="s">
        <v>32</v>
      </c>
      <c r="J93" s="11" t="s">
        <v>60</v>
      </c>
    </row>
    <row r="94" ht="15.75" customHeight="1">
      <c r="A94" s="11" t="s">
        <v>92</v>
      </c>
      <c r="B94" s="11" t="s">
        <v>94</v>
      </c>
      <c r="C94" s="12">
        <v>2000.0</v>
      </c>
      <c r="D94" s="13" t="str">
        <f t="shared" si="1"/>
        <v>Proven</v>
      </c>
      <c r="E94" s="12">
        <v>50.5</v>
      </c>
      <c r="F94" s="14" t="s">
        <v>35</v>
      </c>
      <c r="G94" s="15"/>
      <c r="H94" s="15"/>
      <c r="I94" s="16" t="s">
        <v>32</v>
      </c>
      <c r="J94" s="11" t="s">
        <v>33</v>
      </c>
    </row>
    <row r="95" ht="15.75" customHeight="1">
      <c r="A95" s="11" t="s">
        <v>92</v>
      </c>
      <c r="B95" s="11" t="s">
        <v>93</v>
      </c>
      <c r="C95" s="12">
        <v>1900.0</v>
      </c>
      <c r="D95" s="13" t="str">
        <f t="shared" si="1"/>
        <v>Proven</v>
      </c>
      <c r="E95" s="12">
        <v>50.5</v>
      </c>
      <c r="F95" s="14" t="s">
        <v>31</v>
      </c>
      <c r="G95" s="15"/>
      <c r="H95" s="15"/>
      <c r="I95" s="16" t="s">
        <v>32</v>
      </c>
      <c r="J95" s="11" t="s">
        <v>33</v>
      </c>
    </row>
    <row r="96" ht="15.75" customHeight="1">
      <c r="A96" s="11" t="s">
        <v>92</v>
      </c>
      <c r="B96" s="11" t="s">
        <v>95</v>
      </c>
      <c r="C96" s="12">
        <v>1900.0</v>
      </c>
      <c r="D96" s="13" t="str">
        <f t="shared" si="1"/>
        <v>Proven</v>
      </c>
      <c r="E96" s="12">
        <v>50.5</v>
      </c>
      <c r="F96" s="14" t="s">
        <v>31</v>
      </c>
      <c r="G96" s="15"/>
      <c r="H96" s="15"/>
      <c r="I96" s="16" t="s">
        <v>32</v>
      </c>
      <c r="J96" s="11" t="s">
        <v>33</v>
      </c>
    </row>
    <row r="97" ht="15.75" customHeight="1">
      <c r="A97" s="11" t="s">
        <v>92</v>
      </c>
      <c r="B97" s="11" t="s">
        <v>96</v>
      </c>
      <c r="C97" s="12">
        <v>1800.0</v>
      </c>
      <c r="D97" s="13" t="str">
        <f t="shared" si="1"/>
        <v>Proven</v>
      </c>
      <c r="E97" s="12">
        <v>54.5</v>
      </c>
      <c r="F97" s="14" t="s">
        <v>31</v>
      </c>
      <c r="G97" s="15"/>
      <c r="H97" s="15"/>
      <c r="I97" s="16" t="s">
        <v>32</v>
      </c>
      <c r="J97" s="11" t="s">
        <v>33</v>
      </c>
    </row>
    <row r="98" ht="15.75" customHeight="1">
      <c r="A98" s="11" t="s">
        <v>92</v>
      </c>
      <c r="B98" s="11" t="s">
        <v>96</v>
      </c>
      <c r="C98" s="12">
        <v>1400.0</v>
      </c>
      <c r="D98" s="13" t="str">
        <f t="shared" si="1"/>
        <v>Proven</v>
      </c>
      <c r="E98" s="12">
        <v>54.5</v>
      </c>
      <c r="F98" s="14" t="s">
        <v>31</v>
      </c>
      <c r="G98" s="15"/>
      <c r="H98" s="15"/>
      <c r="I98" s="16" t="s">
        <v>32</v>
      </c>
      <c r="J98" s="11" t="s">
        <v>33</v>
      </c>
    </row>
    <row r="99" ht="15.75" customHeight="1">
      <c r="A99" s="11" t="s">
        <v>92</v>
      </c>
      <c r="B99" s="11" t="s">
        <v>97</v>
      </c>
      <c r="C99" s="12">
        <v>1300.0</v>
      </c>
      <c r="D99" s="13" t="str">
        <f t="shared" si="1"/>
        <v>Proven</v>
      </c>
      <c r="E99" s="12">
        <v>54.5</v>
      </c>
      <c r="F99" s="14" t="s">
        <v>31</v>
      </c>
      <c r="G99" s="15"/>
      <c r="H99" s="15"/>
      <c r="I99" s="16" t="s">
        <v>32</v>
      </c>
      <c r="J99" s="11" t="s">
        <v>33</v>
      </c>
    </row>
    <row r="100" ht="15.75" customHeight="1">
      <c r="A100" s="11" t="s">
        <v>92</v>
      </c>
      <c r="B100" s="11" t="s">
        <v>96</v>
      </c>
      <c r="C100" s="12">
        <v>1200.0</v>
      </c>
      <c r="D100" s="13" t="str">
        <f t="shared" si="1"/>
        <v>Proven</v>
      </c>
      <c r="E100" s="12">
        <v>54.5</v>
      </c>
      <c r="F100" s="14" t="s">
        <v>31</v>
      </c>
      <c r="G100" s="15"/>
      <c r="H100" s="15"/>
      <c r="I100" s="16" t="s">
        <v>32</v>
      </c>
      <c r="J100" s="11" t="s">
        <v>33</v>
      </c>
    </row>
    <row r="101" ht="15.75" customHeight="1">
      <c r="A101" s="11" t="s">
        <v>92</v>
      </c>
      <c r="B101" s="11" t="s">
        <v>97</v>
      </c>
      <c r="C101" s="12">
        <v>1100.0</v>
      </c>
      <c r="D101" s="13" t="str">
        <f t="shared" si="1"/>
        <v>Proven</v>
      </c>
      <c r="E101" s="12">
        <v>56.0</v>
      </c>
      <c r="F101" s="14" t="s">
        <v>31</v>
      </c>
      <c r="G101" s="15"/>
      <c r="H101" s="15"/>
      <c r="I101" s="16" t="s">
        <v>32</v>
      </c>
      <c r="J101" s="11" t="s">
        <v>33</v>
      </c>
    </row>
    <row r="102" ht="15.75" customHeight="1">
      <c r="A102" s="11" t="s">
        <v>92</v>
      </c>
      <c r="B102" s="11" t="s">
        <v>96</v>
      </c>
      <c r="C102" s="12">
        <v>1000.0</v>
      </c>
      <c r="D102" s="13" t="str">
        <f t="shared" si="1"/>
        <v>Proven</v>
      </c>
      <c r="E102" s="12">
        <v>56.0</v>
      </c>
      <c r="F102" s="14" t="s">
        <v>31</v>
      </c>
      <c r="G102" s="15"/>
      <c r="H102" s="15"/>
      <c r="I102" s="16" t="s">
        <v>32</v>
      </c>
      <c r="J102" s="11" t="s">
        <v>33</v>
      </c>
    </row>
    <row r="103" ht="15.75" customHeight="1">
      <c r="A103" s="11" t="s">
        <v>92</v>
      </c>
      <c r="B103" s="11" t="s">
        <v>98</v>
      </c>
      <c r="C103" s="12">
        <v>840.0</v>
      </c>
      <c r="D103" s="13" t="str">
        <f t="shared" si="1"/>
        <v>Watch</v>
      </c>
      <c r="E103" s="12">
        <v>56.0</v>
      </c>
      <c r="F103" s="14" t="s">
        <v>35</v>
      </c>
      <c r="G103" s="15"/>
      <c r="H103" s="15"/>
      <c r="I103" s="16" t="s">
        <v>32</v>
      </c>
      <c r="J103" s="11" t="s">
        <v>33</v>
      </c>
    </row>
    <row r="104" ht="15.75" customHeight="1">
      <c r="A104" s="11" t="s">
        <v>92</v>
      </c>
      <c r="B104" s="11" t="s">
        <v>99</v>
      </c>
      <c r="C104" s="12">
        <v>745.0</v>
      </c>
      <c r="D104" s="13" t="str">
        <f t="shared" si="1"/>
        <v>Watch</v>
      </c>
      <c r="E104" s="12">
        <v>56.0</v>
      </c>
      <c r="F104" s="14" t="s">
        <v>31</v>
      </c>
      <c r="G104" s="15"/>
      <c r="H104" s="15"/>
      <c r="I104" s="16" t="s">
        <v>32</v>
      </c>
      <c r="J104" s="11" t="s">
        <v>33</v>
      </c>
    </row>
    <row r="105" ht="15.75" customHeight="1">
      <c r="A105" s="11" t="s">
        <v>92</v>
      </c>
      <c r="B105" s="11" t="s">
        <v>96</v>
      </c>
      <c r="C105" s="12">
        <v>705.0</v>
      </c>
      <c r="D105" s="13" t="str">
        <f t="shared" si="1"/>
        <v>Watch</v>
      </c>
      <c r="E105" s="12">
        <v>57.5</v>
      </c>
      <c r="F105" s="14" t="s">
        <v>31</v>
      </c>
      <c r="G105" s="15"/>
      <c r="H105" s="15"/>
      <c r="I105" s="16" t="s">
        <v>32</v>
      </c>
      <c r="J105" s="11" t="s">
        <v>33</v>
      </c>
    </row>
    <row r="106" ht="15.75" customHeight="1">
      <c r="A106" s="11" t="s">
        <v>92</v>
      </c>
      <c r="B106" s="11" t="s">
        <v>58</v>
      </c>
      <c r="C106" s="12">
        <v>684.0</v>
      </c>
      <c r="D106" s="13" t="str">
        <f t="shared" si="1"/>
        <v>Watch</v>
      </c>
      <c r="E106" s="12">
        <v>57.5</v>
      </c>
      <c r="F106" s="14" t="s">
        <v>59</v>
      </c>
      <c r="G106" s="15"/>
      <c r="H106" s="15"/>
      <c r="I106" s="16" t="s">
        <v>32</v>
      </c>
      <c r="J106" s="11" t="s">
        <v>60</v>
      </c>
    </row>
    <row r="107" ht="15.75" customHeight="1">
      <c r="A107" s="11" t="s">
        <v>92</v>
      </c>
      <c r="B107" s="11" t="s">
        <v>96</v>
      </c>
      <c r="C107" s="12">
        <v>684.0</v>
      </c>
      <c r="D107" s="13" t="str">
        <f t="shared" si="1"/>
        <v>Watch</v>
      </c>
      <c r="E107" s="12">
        <v>57.5</v>
      </c>
      <c r="F107" s="14" t="s">
        <v>31</v>
      </c>
      <c r="G107" s="15"/>
      <c r="H107" s="15"/>
      <c r="I107" s="16" t="s">
        <v>32</v>
      </c>
      <c r="J107" s="11" t="s">
        <v>33</v>
      </c>
    </row>
    <row r="108" ht="15.75" customHeight="1">
      <c r="A108" s="11" t="s">
        <v>92</v>
      </c>
      <c r="B108" s="11" t="s">
        <v>100</v>
      </c>
      <c r="C108" s="12">
        <v>684.0</v>
      </c>
      <c r="D108" s="13" t="str">
        <f t="shared" si="1"/>
        <v>Watch</v>
      </c>
      <c r="E108" s="12">
        <v>59.0</v>
      </c>
      <c r="F108" s="14" t="s">
        <v>35</v>
      </c>
      <c r="G108" s="15"/>
      <c r="H108" s="15"/>
      <c r="I108" s="16" t="s">
        <v>32</v>
      </c>
      <c r="J108" s="11" t="s">
        <v>33</v>
      </c>
    </row>
    <row r="109" ht="15.75" customHeight="1">
      <c r="A109" s="11" t="s">
        <v>92</v>
      </c>
      <c r="B109" s="11" t="s">
        <v>101</v>
      </c>
      <c r="C109" s="12">
        <v>757.0</v>
      </c>
      <c r="D109" s="13" t="str">
        <f t="shared" si="1"/>
        <v>Watch</v>
      </c>
      <c r="E109" s="12">
        <v>59.0</v>
      </c>
      <c r="F109" s="14" t="s">
        <v>59</v>
      </c>
      <c r="G109" s="15"/>
      <c r="H109" s="15"/>
      <c r="I109" s="16" t="s">
        <v>32</v>
      </c>
      <c r="J109" s="11" t="s">
        <v>60</v>
      </c>
    </row>
    <row r="110" ht="15.75" customHeight="1">
      <c r="A110" s="11" t="s">
        <v>92</v>
      </c>
      <c r="B110" s="11" t="s">
        <v>96</v>
      </c>
      <c r="C110" s="12">
        <v>621.0</v>
      </c>
      <c r="D110" s="13" t="str">
        <f t="shared" si="1"/>
        <v>Watch</v>
      </c>
      <c r="E110" s="12">
        <v>59.0</v>
      </c>
      <c r="F110" s="14" t="s">
        <v>31</v>
      </c>
      <c r="G110" s="15"/>
      <c r="H110" s="15"/>
      <c r="I110" s="16" t="s">
        <v>32</v>
      </c>
      <c r="J110" s="11" t="s">
        <v>33</v>
      </c>
    </row>
    <row r="111" ht="15.75" customHeight="1">
      <c r="A111" s="11" t="s">
        <v>102</v>
      </c>
      <c r="B111" s="11" t="s">
        <v>103</v>
      </c>
      <c r="C111" s="12">
        <v>191.0</v>
      </c>
      <c r="D111" s="13" t="str">
        <f t="shared" si="1"/>
        <v>Low</v>
      </c>
      <c r="E111" s="12">
        <v>61.0</v>
      </c>
      <c r="F111" s="14" t="s">
        <v>35</v>
      </c>
      <c r="G111" s="15"/>
      <c r="H111" s="15"/>
      <c r="I111" s="16" t="s">
        <v>32</v>
      </c>
      <c r="J111" s="11" t="s">
        <v>33</v>
      </c>
    </row>
    <row r="112" ht="15.75" customHeight="1">
      <c r="A112" s="11" t="s">
        <v>102</v>
      </c>
      <c r="B112" s="11" t="s">
        <v>104</v>
      </c>
      <c r="C112" s="12">
        <v>149.0</v>
      </c>
      <c r="D112" s="13" t="str">
        <f t="shared" si="1"/>
        <v>Low</v>
      </c>
      <c r="E112" s="12">
        <v>61.0</v>
      </c>
      <c r="F112" s="14" t="s">
        <v>35</v>
      </c>
      <c r="G112" s="15"/>
      <c r="H112" s="15"/>
      <c r="I112" s="16" t="s">
        <v>32</v>
      </c>
      <c r="J112" s="11" t="s">
        <v>33</v>
      </c>
    </row>
    <row r="113" ht="15.75" customHeight="1">
      <c r="A113" s="11" t="s">
        <v>102</v>
      </c>
      <c r="B113" s="11" t="s">
        <v>105</v>
      </c>
      <c r="C113" s="12">
        <v>140.0</v>
      </c>
      <c r="D113" s="13" t="str">
        <f t="shared" si="1"/>
        <v>Low</v>
      </c>
      <c r="E113" s="12">
        <v>61.0</v>
      </c>
      <c r="F113" s="14" t="s">
        <v>35</v>
      </c>
      <c r="G113" s="15"/>
      <c r="H113" s="15"/>
      <c r="I113" s="16" t="s">
        <v>32</v>
      </c>
      <c r="J113" s="11" t="s">
        <v>33</v>
      </c>
    </row>
    <row r="114" ht="15.75" customHeight="1">
      <c r="A114" s="11" t="s">
        <v>102</v>
      </c>
      <c r="B114" s="11" t="s">
        <v>106</v>
      </c>
      <c r="C114" s="12">
        <v>88.0</v>
      </c>
      <c r="D114" s="13" t="str">
        <f t="shared" si="1"/>
        <v>Low</v>
      </c>
      <c r="E114" s="12">
        <v>61.0</v>
      </c>
      <c r="F114" s="14" t="s">
        <v>31</v>
      </c>
      <c r="G114" s="15"/>
      <c r="H114" s="15"/>
      <c r="I114" s="16" t="s">
        <v>32</v>
      </c>
      <c r="J114" s="11" t="s">
        <v>33</v>
      </c>
    </row>
    <row r="115" ht="15.75" customHeight="1">
      <c r="A115" s="11" t="s">
        <v>102</v>
      </c>
      <c r="B115" s="11" t="s">
        <v>107</v>
      </c>
      <c r="C115" s="12">
        <v>73.0</v>
      </c>
      <c r="D115" s="13" t="str">
        <f t="shared" si="1"/>
        <v>Low</v>
      </c>
      <c r="E115" s="12">
        <v>61.0</v>
      </c>
      <c r="F115" s="14" t="s">
        <v>35</v>
      </c>
      <c r="G115" s="15"/>
      <c r="H115" s="15"/>
      <c r="I115" s="16" t="s">
        <v>32</v>
      </c>
      <c r="J115" s="11" t="s">
        <v>33</v>
      </c>
    </row>
    <row r="116" ht="15.75" customHeight="1">
      <c r="A116" s="11" t="s">
        <v>102</v>
      </c>
      <c r="B116" s="11" t="s">
        <v>108</v>
      </c>
      <c r="C116" s="12">
        <v>63.0</v>
      </c>
      <c r="D116" s="13" t="str">
        <f t="shared" si="1"/>
        <v>Low</v>
      </c>
      <c r="E116" s="12">
        <v>65.5</v>
      </c>
      <c r="F116" s="14" t="s">
        <v>31</v>
      </c>
      <c r="G116" s="15"/>
      <c r="H116" s="15"/>
      <c r="I116" s="16" t="s">
        <v>32</v>
      </c>
      <c r="J116" s="11" t="s">
        <v>33</v>
      </c>
    </row>
    <row r="117" ht="15.75" customHeight="1">
      <c r="A117" s="11" t="s">
        <v>102</v>
      </c>
      <c r="B117" s="11" t="s">
        <v>109</v>
      </c>
      <c r="C117" s="12">
        <v>49.0</v>
      </c>
      <c r="D117" s="13" t="str">
        <f t="shared" si="1"/>
        <v>Low</v>
      </c>
      <c r="E117" s="12">
        <v>65.5</v>
      </c>
      <c r="F117" s="14" t="s">
        <v>35</v>
      </c>
      <c r="G117" s="15"/>
      <c r="H117" s="15"/>
      <c r="I117" s="16" t="s">
        <v>32</v>
      </c>
      <c r="J117" s="11" t="s">
        <v>33</v>
      </c>
    </row>
    <row r="118" ht="15.75" customHeight="1">
      <c r="A118" s="11" t="s">
        <v>102</v>
      </c>
      <c r="B118" s="11" t="s">
        <v>110</v>
      </c>
      <c r="C118" s="12">
        <v>39.0</v>
      </c>
      <c r="D118" s="13" t="str">
        <f t="shared" si="1"/>
        <v>Low</v>
      </c>
      <c r="E118" s="12">
        <v>65.5</v>
      </c>
      <c r="F118" s="14" t="s">
        <v>31</v>
      </c>
      <c r="G118" s="15"/>
      <c r="H118" s="15"/>
      <c r="I118" s="16" t="s">
        <v>32</v>
      </c>
      <c r="J118" s="11" t="s">
        <v>33</v>
      </c>
    </row>
    <row r="119" ht="15.75" customHeight="1">
      <c r="A119" s="11" t="s">
        <v>102</v>
      </c>
      <c r="B119" s="11" t="s">
        <v>111</v>
      </c>
      <c r="C119" s="12">
        <v>37.0</v>
      </c>
      <c r="D119" s="13" t="str">
        <f t="shared" si="1"/>
        <v>Low</v>
      </c>
      <c r="E119" s="12">
        <v>65.5</v>
      </c>
      <c r="F119" s="14" t="s">
        <v>35</v>
      </c>
      <c r="G119" s="15"/>
      <c r="H119" s="15"/>
      <c r="I119" s="16" t="s">
        <v>32</v>
      </c>
      <c r="J119" s="11" t="s">
        <v>33</v>
      </c>
    </row>
    <row r="120" ht="15.75" customHeight="1">
      <c r="A120" s="11" t="s">
        <v>102</v>
      </c>
      <c r="B120" s="11" t="s">
        <v>112</v>
      </c>
      <c r="C120" s="12">
        <v>36.0</v>
      </c>
      <c r="D120" s="13" t="str">
        <f t="shared" si="1"/>
        <v>Low</v>
      </c>
      <c r="E120" s="12">
        <v>69.25</v>
      </c>
      <c r="F120" s="14" t="s">
        <v>31</v>
      </c>
      <c r="G120" s="15"/>
      <c r="H120" s="15"/>
      <c r="I120" s="16" t="s">
        <v>32</v>
      </c>
      <c r="J120" s="11" t="s">
        <v>33</v>
      </c>
    </row>
    <row r="121" ht="15.75" customHeight="1">
      <c r="A121" s="11" t="s">
        <v>102</v>
      </c>
      <c r="B121" s="11" t="s">
        <v>113</v>
      </c>
      <c r="C121" s="12">
        <v>35.0</v>
      </c>
      <c r="D121" s="13" t="str">
        <f t="shared" si="1"/>
        <v>Low</v>
      </c>
      <c r="E121" s="12">
        <v>69.25</v>
      </c>
      <c r="F121" s="14" t="s">
        <v>31</v>
      </c>
      <c r="G121" s="15"/>
      <c r="H121" s="15"/>
      <c r="I121" s="16" t="s">
        <v>32</v>
      </c>
      <c r="J121" s="11" t="s">
        <v>33</v>
      </c>
    </row>
    <row r="122" ht="15.75" customHeight="1">
      <c r="A122" s="11" t="s">
        <v>102</v>
      </c>
      <c r="B122" s="11" t="s">
        <v>114</v>
      </c>
      <c r="C122" s="12">
        <v>34.0</v>
      </c>
      <c r="D122" s="13" t="str">
        <f t="shared" si="1"/>
        <v>Low</v>
      </c>
      <c r="E122" s="12">
        <v>69.25</v>
      </c>
      <c r="F122" s="14" t="s">
        <v>31</v>
      </c>
      <c r="G122" s="15"/>
      <c r="H122" s="15"/>
      <c r="I122" s="16" t="s">
        <v>32</v>
      </c>
      <c r="J122" s="11" t="s">
        <v>33</v>
      </c>
    </row>
    <row r="123" ht="15.75" customHeight="1">
      <c r="A123" s="11" t="s">
        <v>102</v>
      </c>
      <c r="B123" s="11" t="s">
        <v>115</v>
      </c>
      <c r="C123" s="12">
        <v>33.0</v>
      </c>
      <c r="D123" s="13" t="str">
        <f t="shared" si="1"/>
        <v>Low</v>
      </c>
      <c r="E123" s="12">
        <v>69.25</v>
      </c>
      <c r="F123" s="14" t="s">
        <v>35</v>
      </c>
      <c r="G123" s="15"/>
      <c r="H123" s="15"/>
      <c r="I123" s="16" t="s">
        <v>32</v>
      </c>
      <c r="J123" s="11" t="s">
        <v>33</v>
      </c>
    </row>
    <row r="124" ht="15.75" customHeight="1">
      <c r="A124" s="11" t="s">
        <v>102</v>
      </c>
      <c r="B124" s="11" t="s">
        <v>116</v>
      </c>
      <c r="C124" s="12">
        <v>30.0</v>
      </c>
      <c r="D124" s="13" t="str">
        <f t="shared" si="1"/>
        <v>Low</v>
      </c>
      <c r="E124" s="12">
        <v>70.5</v>
      </c>
      <c r="F124" s="14" t="s">
        <v>31</v>
      </c>
      <c r="G124" s="15"/>
      <c r="H124" s="15"/>
      <c r="I124" s="16" t="s">
        <v>32</v>
      </c>
      <c r="J124" s="11" t="s">
        <v>33</v>
      </c>
    </row>
    <row r="125" ht="15.75" customHeight="1">
      <c r="A125" s="11" t="s">
        <v>102</v>
      </c>
      <c r="B125" s="11" t="s">
        <v>117</v>
      </c>
      <c r="C125" s="12">
        <v>26.0</v>
      </c>
      <c r="D125" s="13" t="str">
        <f t="shared" si="1"/>
        <v>Low</v>
      </c>
      <c r="E125" s="12">
        <v>70.5</v>
      </c>
      <c r="F125" s="14" t="s">
        <v>31</v>
      </c>
      <c r="G125" s="15"/>
      <c r="H125" s="15"/>
      <c r="I125" s="16" t="s">
        <v>32</v>
      </c>
      <c r="J125" s="11" t="s">
        <v>33</v>
      </c>
    </row>
    <row r="126" ht="15.75" customHeight="1">
      <c r="A126" s="11" t="s">
        <v>102</v>
      </c>
      <c r="B126" s="11" t="s">
        <v>58</v>
      </c>
      <c r="C126" s="12">
        <v>25.0</v>
      </c>
      <c r="D126" s="13" t="str">
        <f t="shared" si="1"/>
        <v>Low</v>
      </c>
      <c r="E126" s="12">
        <v>70.5</v>
      </c>
      <c r="F126" s="14" t="s">
        <v>59</v>
      </c>
      <c r="G126" s="15"/>
      <c r="H126" s="15"/>
      <c r="I126" s="16" t="s">
        <v>32</v>
      </c>
      <c r="J126" s="11" t="s">
        <v>60</v>
      </c>
    </row>
    <row r="127" ht="15.75" customHeight="1">
      <c r="A127" s="11" t="s">
        <v>118</v>
      </c>
      <c r="B127" s="11" t="s">
        <v>119</v>
      </c>
      <c r="C127" s="12">
        <v>12500.0</v>
      </c>
      <c r="D127" s="13" t="str">
        <f t="shared" si="1"/>
        <v>Strong</v>
      </c>
      <c r="E127" s="12">
        <v>74.0</v>
      </c>
      <c r="F127" s="14" t="s">
        <v>31</v>
      </c>
      <c r="G127" s="15"/>
      <c r="H127" s="15"/>
      <c r="I127" s="16" t="s">
        <v>32</v>
      </c>
      <c r="J127" s="11" t="s">
        <v>33</v>
      </c>
    </row>
    <row r="128" ht="15.75" customHeight="1">
      <c r="A128" s="11" t="s">
        <v>118</v>
      </c>
      <c r="B128" s="11" t="s">
        <v>120</v>
      </c>
      <c r="C128" s="12">
        <v>10900.0</v>
      </c>
      <c r="D128" s="13" t="str">
        <f t="shared" si="1"/>
        <v>Strong</v>
      </c>
      <c r="E128" s="12">
        <v>74.0</v>
      </c>
      <c r="F128" s="14" t="s">
        <v>31</v>
      </c>
      <c r="G128" s="15"/>
      <c r="H128" s="15"/>
      <c r="I128" s="16" t="s">
        <v>32</v>
      </c>
      <c r="J128" s="11" t="s">
        <v>33</v>
      </c>
    </row>
    <row r="129" ht="15.75" customHeight="1">
      <c r="A129" s="11" t="s">
        <v>118</v>
      </c>
      <c r="B129" s="11" t="s">
        <v>121</v>
      </c>
      <c r="C129" s="12">
        <v>9400.0</v>
      </c>
      <c r="D129" s="13" t="str">
        <f t="shared" si="1"/>
        <v>Proven</v>
      </c>
      <c r="E129" s="12">
        <v>74.0</v>
      </c>
      <c r="F129" s="14" t="s">
        <v>31</v>
      </c>
      <c r="G129" s="15"/>
      <c r="H129" s="15"/>
      <c r="I129" s="16" t="s">
        <v>32</v>
      </c>
      <c r="J129" s="11" t="s">
        <v>33</v>
      </c>
    </row>
    <row r="130" ht="15.75" customHeight="1">
      <c r="A130" s="11" t="s">
        <v>118</v>
      </c>
      <c r="B130" s="11" t="s">
        <v>120</v>
      </c>
      <c r="C130" s="12">
        <v>5800.0</v>
      </c>
      <c r="D130" s="13" t="str">
        <f t="shared" si="1"/>
        <v>Proven</v>
      </c>
      <c r="E130" s="12">
        <v>74.0</v>
      </c>
      <c r="F130" s="14" t="s">
        <v>31</v>
      </c>
      <c r="G130" s="15"/>
      <c r="H130" s="15"/>
      <c r="I130" s="16" t="s">
        <v>32</v>
      </c>
      <c r="J130" s="11" t="s">
        <v>33</v>
      </c>
    </row>
    <row r="131" ht="15.75" customHeight="1">
      <c r="A131" s="11" t="s">
        <v>118</v>
      </c>
      <c r="B131" s="11" t="s">
        <v>122</v>
      </c>
      <c r="C131" s="12">
        <v>5100.0</v>
      </c>
      <c r="D131" s="13" t="str">
        <f t="shared" si="1"/>
        <v>Proven</v>
      </c>
      <c r="E131" s="12">
        <v>74.0</v>
      </c>
      <c r="F131" s="14" t="s">
        <v>31</v>
      </c>
      <c r="G131" s="15"/>
      <c r="H131" s="15"/>
      <c r="I131" s="16" t="s">
        <v>32</v>
      </c>
      <c r="J131" s="11" t="s">
        <v>33</v>
      </c>
    </row>
    <row r="132" ht="15.75" customHeight="1">
      <c r="A132" s="11" t="s">
        <v>118</v>
      </c>
      <c r="B132" s="11" t="s">
        <v>120</v>
      </c>
      <c r="C132" s="12">
        <v>5700.0</v>
      </c>
      <c r="D132" s="13" t="str">
        <f t="shared" si="1"/>
        <v>Proven</v>
      </c>
      <c r="E132" s="12">
        <v>78.5</v>
      </c>
      <c r="F132" s="14" t="s">
        <v>31</v>
      </c>
      <c r="G132" s="15"/>
      <c r="H132" s="15"/>
      <c r="I132" s="16" t="s">
        <v>32</v>
      </c>
      <c r="J132" s="11" t="s">
        <v>33</v>
      </c>
    </row>
    <row r="133" ht="15.75" customHeight="1">
      <c r="A133" s="11" t="s">
        <v>118</v>
      </c>
      <c r="B133" s="11" t="s">
        <v>119</v>
      </c>
      <c r="C133" s="12">
        <v>5200.0</v>
      </c>
      <c r="D133" s="13" t="str">
        <f t="shared" si="1"/>
        <v>Proven</v>
      </c>
      <c r="E133" s="12">
        <v>78.5</v>
      </c>
      <c r="F133" s="14" t="s">
        <v>31</v>
      </c>
      <c r="G133" s="15"/>
      <c r="H133" s="15"/>
      <c r="I133" s="16" t="s">
        <v>32</v>
      </c>
      <c r="J133" s="11" t="s">
        <v>33</v>
      </c>
    </row>
    <row r="134" ht="15.75" customHeight="1">
      <c r="A134" s="11" t="s">
        <v>118</v>
      </c>
      <c r="B134" s="11" t="s">
        <v>122</v>
      </c>
      <c r="C134" s="12">
        <v>4800.0</v>
      </c>
      <c r="D134" s="13" t="str">
        <f t="shared" si="1"/>
        <v>Proven</v>
      </c>
      <c r="E134" s="12">
        <v>78.5</v>
      </c>
      <c r="F134" s="14" t="s">
        <v>31</v>
      </c>
      <c r="G134" s="15"/>
      <c r="H134" s="15"/>
      <c r="I134" s="16" t="s">
        <v>32</v>
      </c>
      <c r="J134" s="11" t="s">
        <v>33</v>
      </c>
    </row>
    <row r="135" ht="15.75" customHeight="1">
      <c r="A135" s="11" t="s">
        <v>118</v>
      </c>
      <c r="B135" s="11" t="s">
        <v>120</v>
      </c>
      <c r="C135" s="12">
        <v>4900.0</v>
      </c>
      <c r="D135" s="13" t="str">
        <f t="shared" si="1"/>
        <v>Proven</v>
      </c>
      <c r="E135" s="12">
        <v>78.5</v>
      </c>
      <c r="F135" s="14" t="s">
        <v>31</v>
      </c>
      <c r="G135" s="15"/>
      <c r="H135" s="15"/>
      <c r="I135" s="16" t="s">
        <v>32</v>
      </c>
      <c r="J135" s="11" t="s">
        <v>33</v>
      </c>
    </row>
    <row r="136" ht="15.75" customHeight="1">
      <c r="A136" s="11" t="s">
        <v>118</v>
      </c>
      <c r="B136" s="11" t="s">
        <v>119</v>
      </c>
      <c r="C136" s="12">
        <v>4600.0</v>
      </c>
      <c r="D136" s="13" t="str">
        <f t="shared" si="1"/>
        <v>Proven</v>
      </c>
      <c r="E136" s="12">
        <v>80.75</v>
      </c>
      <c r="F136" s="14" t="s">
        <v>31</v>
      </c>
      <c r="G136" s="15"/>
      <c r="H136" s="15"/>
      <c r="I136" s="16" t="s">
        <v>32</v>
      </c>
      <c r="J136" s="11" t="s">
        <v>33</v>
      </c>
    </row>
    <row r="137" ht="15.75" customHeight="1">
      <c r="A137" s="11" t="s">
        <v>118</v>
      </c>
      <c r="B137" s="11" t="s">
        <v>120</v>
      </c>
      <c r="C137" s="12">
        <v>4700.0</v>
      </c>
      <c r="D137" s="13" t="str">
        <f t="shared" si="1"/>
        <v>Proven</v>
      </c>
      <c r="E137" s="12">
        <v>80.75</v>
      </c>
      <c r="F137" s="14" t="s">
        <v>31</v>
      </c>
      <c r="G137" s="15"/>
      <c r="H137" s="15"/>
      <c r="I137" s="16" t="s">
        <v>32</v>
      </c>
      <c r="J137" s="11" t="s">
        <v>33</v>
      </c>
    </row>
    <row r="138" ht="15.75" customHeight="1">
      <c r="A138" s="11" t="s">
        <v>118</v>
      </c>
      <c r="B138" s="11" t="s">
        <v>120</v>
      </c>
      <c r="C138" s="12">
        <v>3300.0</v>
      </c>
      <c r="D138" s="13" t="str">
        <f t="shared" si="1"/>
        <v>Proven</v>
      </c>
      <c r="E138" s="12">
        <v>80.75</v>
      </c>
      <c r="F138" s="14" t="s">
        <v>31</v>
      </c>
      <c r="G138" s="15"/>
      <c r="H138" s="15"/>
      <c r="I138" s="16" t="s">
        <v>32</v>
      </c>
      <c r="J138" s="11" t="s">
        <v>33</v>
      </c>
    </row>
    <row r="139" ht="15.75" customHeight="1">
      <c r="A139" s="11" t="s">
        <v>118</v>
      </c>
      <c r="B139" s="11" t="s">
        <v>120</v>
      </c>
      <c r="C139" s="12">
        <v>3400.0</v>
      </c>
      <c r="D139" s="13" t="str">
        <f t="shared" si="1"/>
        <v>Proven</v>
      </c>
      <c r="E139" s="12">
        <v>80.75</v>
      </c>
      <c r="F139" s="14" t="s">
        <v>31</v>
      </c>
      <c r="G139" s="15"/>
      <c r="H139" s="15"/>
      <c r="I139" s="16" t="s">
        <v>32</v>
      </c>
      <c r="J139" s="11" t="s">
        <v>33</v>
      </c>
    </row>
    <row r="140" ht="15.75" customHeight="1">
      <c r="A140" s="11" t="s">
        <v>118</v>
      </c>
      <c r="B140" s="11" t="s">
        <v>123</v>
      </c>
      <c r="C140" s="12">
        <v>3100.0</v>
      </c>
      <c r="D140" s="13" t="str">
        <f t="shared" si="1"/>
        <v>Proven</v>
      </c>
      <c r="E140" s="12">
        <v>82.75</v>
      </c>
      <c r="F140" s="14" t="s">
        <v>31</v>
      </c>
      <c r="G140" s="15"/>
      <c r="H140" s="15"/>
      <c r="I140" s="16" t="s">
        <v>32</v>
      </c>
      <c r="J140" s="11" t="s">
        <v>33</v>
      </c>
    </row>
    <row r="141" ht="15.75" customHeight="1">
      <c r="A141" s="11" t="s">
        <v>118</v>
      </c>
      <c r="B141" s="11" t="s">
        <v>122</v>
      </c>
      <c r="C141" s="12">
        <v>3100.0</v>
      </c>
      <c r="D141" s="13" t="str">
        <f t="shared" si="1"/>
        <v>Proven</v>
      </c>
      <c r="E141" s="12">
        <v>82.75</v>
      </c>
      <c r="F141" s="14" t="s">
        <v>31</v>
      </c>
      <c r="G141" s="15"/>
      <c r="H141" s="15"/>
      <c r="I141" s="16" t="s">
        <v>32</v>
      </c>
      <c r="J141" s="11" t="s">
        <v>33</v>
      </c>
    </row>
    <row r="142" ht="15.75" customHeight="1">
      <c r="A142" s="11" t="s">
        <v>118</v>
      </c>
      <c r="B142" s="11" t="s">
        <v>122</v>
      </c>
      <c r="C142" s="12">
        <v>2800.0</v>
      </c>
      <c r="D142" s="13" t="str">
        <f t="shared" si="1"/>
        <v>Proven</v>
      </c>
      <c r="E142" s="12">
        <v>82.75</v>
      </c>
      <c r="F142" s="14" t="s">
        <v>31</v>
      </c>
      <c r="G142" s="15"/>
      <c r="H142" s="15"/>
      <c r="I142" s="16" t="s">
        <v>32</v>
      </c>
      <c r="J142" s="11" t="s">
        <v>33</v>
      </c>
    </row>
    <row r="143" ht="15.75" customHeight="1">
      <c r="A143" s="11" t="s">
        <v>118</v>
      </c>
      <c r="B143" s="11" t="s">
        <v>120</v>
      </c>
      <c r="C143" s="12">
        <v>2400.0</v>
      </c>
      <c r="D143" s="13" t="str">
        <f t="shared" si="1"/>
        <v>Proven</v>
      </c>
      <c r="E143" s="12">
        <v>82.75</v>
      </c>
      <c r="F143" s="14" t="s">
        <v>31</v>
      </c>
      <c r="G143" s="15"/>
      <c r="H143" s="15"/>
      <c r="I143" s="16" t="s">
        <v>32</v>
      </c>
      <c r="J143" s="11" t="s">
        <v>33</v>
      </c>
    </row>
    <row r="144" ht="15.75" customHeight="1">
      <c r="A144" s="11" t="s">
        <v>118</v>
      </c>
      <c r="B144" s="11" t="s">
        <v>122</v>
      </c>
      <c r="C144" s="12">
        <v>3200.0</v>
      </c>
      <c r="D144" s="13" t="str">
        <f t="shared" si="1"/>
        <v>Proven</v>
      </c>
      <c r="E144" s="12">
        <v>84.5</v>
      </c>
      <c r="F144" s="14" t="s">
        <v>31</v>
      </c>
      <c r="G144" s="15"/>
      <c r="H144" s="15"/>
      <c r="I144" s="16" t="s">
        <v>32</v>
      </c>
      <c r="J144" s="11" t="s">
        <v>33</v>
      </c>
    </row>
    <row r="145" ht="15.75" customHeight="1">
      <c r="A145" s="11" t="s">
        <v>124</v>
      </c>
      <c r="B145" s="11" t="s">
        <v>125</v>
      </c>
      <c r="C145" s="12">
        <v>874.0</v>
      </c>
      <c r="D145" s="13" t="str">
        <f t="shared" si="1"/>
        <v>Watch</v>
      </c>
      <c r="E145" s="12">
        <v>87.25</v>
      </c>
      <c r="F145" s="14" t="s">
        <v>31</v>
      </c>
      <c r="G145" s="15"/>
      <c r="H145" s="15"/>
      <c r="I145" s="16" t="s">
        <v>32</v>
      </c>
      <c r="J145" s="11" t="s">
        <v>33</v>
      </c>
    </row>
    <row r="146" ht="15.75" customHeight="1">
      <c r="A146" s="11" t="s">
        <v>124</v>
      </c>
      <c r="B146" s="11" t="s">
        <v>126</v>
      </c>
      <c r="C146" s="12">
        <v>537.0</v>
      </c>
      <c r="D146" s="13" t="str">
        <f t="shared" si="1"/>
        <v>Watch</v>
      </c>
      <c r="E146" s="12">
        <v>87.25</v>
      </c>
      <c r="F146" s="14" t="s">
        <v>35</v>
      </c>
      <c r="G146" s="15"/>
      <c r="H146" s="15"/>
      <c r="I146" s="16" t="s">
        <v>32</v>
      </c>
      <c r="J146" s="11" t="s">
        <v>33</v>
      </c>
    </row>
    <row r="147" ht="15.75" customHeight="1">
      <c r="A147" s="11" t="s">
        <v>124</v>
      </c>
      <c r="B147" s="11" t="s">
        <v>127</v>
      </c>
      <c r="C147" s="12">
        <v>261.0</v>
      </c>
      <c r="D147" s="13" t="str">
        <f t="shared" si="1"/>
        <v>Watch</v>
      </c>
      <c r="E147" s="12">
        <v>87.25</v>
      </c>
      <c r="F147" s="14" t="s">
        <v>31</v>
      </c>
      <c r="G147" s="15"/>
      <c r="H147" s="15"/>
      <c r="I147" s="16" t="s">
        <v>32</v>
      </c>
      <c r="J147" s="11" t="s">
        <v>33</v>
      </c>
    </row>
    <row r="148" ht="15.75" customHeight="1">
      <c r="A148" s="11" t="s">
        <v>124</v>
      </c>
      <c r="B148" s="11" t="s">
        <v>125</v>
      </c>
      <c r="C148" s="12">
        <v>219.0</v>
      </c>
      <c r="D148" s="13" t="str">
        <f t="shared" si="1"/>
        <v>Watch</v>
      </c>
      <c r="E148" s="12">
        <v>87.25</v>
      </c>
      <c r="F148" s="14" t="s">
        <v>31</v>
      </c>
      <c r="G148" s="15"/>
      <c r="H148" s="15"/>
      <c r="I148" s="16" t="s">
        <v>32</v>
      </c>
      <c r="J148" s="11" t="s">
        <v>33</v>
      </c>
    </row>
    <row r="149" ht="15.75" customHeight="1">
      <c r="A149" s="11" t="s">
        <v>124</v>
      </c>
      <c r="B149" s="11" t="s">
        <v>128</v>
      </c>
      <c r="C149" s="12">
        <v>139.0</v>
      </c>
      <c r="D149" s="13" t="str">
        <f t="shared" si="1"/>
        <v>Low</v>
      </c>
      <c r="E149" s="12">
        <v>87.25</v>
      </c>
      <c r="F149" s="14" t="s">
        <v>35</v>
      </c>
      <c r="G149" s="15"/>
      <c r="H149" s="15"/>
      <c r="I149" s="16" t="s">
        <v>32</v>
      </c>
      <c r="J149" s="11" t="s">
        <v>33</v>
      </c>
    </row>
    <row r="150" ht="15.75" customHeight="1">
      <c r="A150" s="11" t="s">
        <v>124</v>
      </c>
      <c r="B150" s="11" t="s">
        <v>112</v>
      </c>
      <c r="C150" s="12">
        <v>129.0</v>
      </c>
      <c r="D150" s="13" t="str">
        <f t="shared" si="1"/>
        <v>Low</v>
      </c>
      <c r="E150" s="12">
        <v>90.5</v>
      </c>
      <c r="F150" s="14" t="s">
        <v>31</v>
      </c>
      <c r="G150" s="15"/>
      <c r="H150" s="15"/>
      <c r="I150" s="16" t="s">
        <v>32</v>
      </c>
      <c r="J150" s="11" t="s">
        <v>33</v>
      </c>
    </row>
    <row r="151" ht="15.75" customHeight="1">
      <c r="A151" s="11" t="s">
        <v>124</v>
      </c>
      <c r="B151" s="11" t="s">
        <v>129</v>
      </c>
      <c r="C151" s="12">
        <v>94.0</v>
      </c>
      <c r="D151" s="13" t="str">
        <f t="shared" si="1"/>
        <v>Low</v>
      </c>
      <c r="E151" s="12">
        <v>90.5</v>
      </c>
      <c r="F151" s="14" t="s">
        <v>35</v>
      </c>
      <c r="G151" s="15"/>
      <c r="H151" s="15"/>
      <c r="I151" s="16" t="s">
        <v>32</v>
      </c>
      <c r="J151" s="11" t="s">
        <v>33</v>
      </c>
    </row>
    <row r="152" ht="15.75" customHeight="1">
      <c r="A152" s="11" t="s">
        <v>124</v>
      </c>
      <c r="B152" s="11" t="s">
        <v>130</v>
      </c>
      <c r="C152" s="12">
        <v>151.0</v>
      </c>
      <c r="D152" s="13" t="str">
        <f t="shared" si="1"/>
        <v>Low</v>
      </c>
      <c r="E152" s="12">
        <v>90.5</v>
      </c>
      <c r="F152" s="14" t="s">
        <v>31</v>
      </c>
      <c r="G152" s="15"/>
      <c r="H152" s="15"/>
      <c r="I152" s="16" t="s">
        <v>32</v>
      </c>
      <c r="J152" s="11" t="s">
        <v>33</v>
      </c>
    </row>
    <row r="153" ht="15.75" customHeight="1">
      <c r="A153" s="11" t="s">
        <v>124</v>
      </c>
      <c r="B153" s="11" t="s">
        <v>131</v>
      </c>
      <c r="C153" s="12">
        <v>56.0</v>
      </c>
      <c r="D153" s="13" t="str">
        <f t="shared" si="1"/>
        <v>Low</v>
      </c>
      <c r="E153" s="12">
        <v>90.5</v>
      </c>
      <c r="F153" s="14" t="s">
        <v>31</v>
      </c>
      <c r="G153" s="15"/>
      <c r="H153" s="15"/>
      <c r="I153" s="16" t="s">
        <v>32</v>
      </c>
      <c r="J153" s="11" t="s">
        <v>33</v>
      </c>
    </row>
    <row r="154" ht="15.75" customHeight="1">
      <c r="A154" s="11" t="s">
        <v>124</v>
      </c>
      <c r="B154" s="11" t="s">
        <v>132</v>
      </c>
      <c r="C154" s="12">
        <v>44.0</v>
      </c>
      <c r="D154" s="13" t="str">
        <f t="shared" si="1"/>
        <v>Low</v>
      </c>
      <c r="E154" s="12">
        <v>93.5</v>
      </c>
      <c r="F154" s="14" t="s">
        <v>59</v>
      </c>
      <c r="G154" s="15"/>
      <c r="H154" s="15"/>
      <c r="I154" s="16" t="s">
        <v>32</v>
      </c>
      <c r="J154" s="11" t="s">
        <v>60</v>
      </c>
    </row>
    <row r="155" ht="15.75" customHeight="1">
      <c r="A155" s="11" t="s">
        <v>124</v>
      </c>
      <c r="B155" s="11" t="s">
        <v>133</v>
      </c>
      <c r="C155" s="12">
        <v>36.0</v>
      </c>
      <c r="D155" s="13" t="str">
        <f t="shared" si="1"/>
        <v>Low</v>
      </c>
      <c r="E155" s="12">
        <v>93.5</v>
      </c>
      <c r="F155" s="14" t="s">
        <v>31</v>
      </c>
      <c r="G155" s="15"/>
      <c r="H155" s="15"/>
      <c r="I155" s="16" t="s">
        <v>32</v>
      </c>
      <c r="J155" s="11" t="s">
        <v>33</v>
      </c>
    </row>
    <row r="156" ht="15.75" customHeight="1">
      <c r="A156" s="11" t="s">
        <v>124</v>
      </c>
      <c r="B156" s="11" t="s">
        <v>134</v>
      </c>
      <c r="C156" s="12">
        <v>39.0</v>
      </c>
      <c r="D156" s="13" t="str">
        <f t="shared" si="1"/>
        <v>Low</v>
      </c>
      <c r="E156" s="12">
        <v>93.5</v>
      </c>
      <c r="F156" s="14" t="s">
        <v>31</v>
      </c>
      <c r="G156" s="15"/>
      <c r="H156" s="15"/>
      <c r="I156" s="16" t="s">
        <v>32</v>
      </c>
      <c r="J156" s="11" t="s">
        <v>33</v>
      </c>
    </row>
    <row r="157" ht="15.75" customHeight="1">
      <c r="A157" s="11" t="s">
        <v>124</v>
      </c>
      <c r="B157" s="11" t="s">
        <v>127</v>
      </c>
      <c r="C157" s="12">
        <v>37.0</v>
      </c>
      <c r="D157" s="13" t="str">
        <f t="shared" si="1"/>
        <v>Low</v>
      </c>
      <c r="E157" s="12">
        <v>93.5</v>
      </c>
      <c r="F157" s="14" t="s">
        <v>31</v>
      </c>
      <c r="G157" s="15"/>
      <c r="H157" s="15"/>
      <c r="I157" s="16" t="s">
        <v>32</v>
      </c>
      <c r="J157" s="11" t="s">
        <v>33</v>
      </c>
    </row>
    <row r="158" ht="15.75" customHeight="1">
      <c r="A158" s="11" t="s">
        <v>124</v>
      </c>
      <c r="B158" s="11" t="s">
        <v>135</v>
      </c>
      <c r="C158" s="12">
        <v>35.0</v>
      </c>
      <c r="D158" s="13" t="str">
        <f t="shared" si="1"/>
        <v>Low</v>
      </c>
      <c r="E158" s="12">
        <v>95.5</v>
      </c>
      <c r="F158" s="14" t="s">
        <v>31</v>
      </c>
      <c r="G158" s="15"/>
      <c r="H158" s="15"/>
      <c r="I158" s="16" t="s">
        <v>32</v>
      </c>
      <c r="J158" s="11" t="s">
        <v>33</v>
      </c>
    </row>
    <row r="159" ht="15.75" customHeight="1">
      <c r="A159" s="11" t="s">
        <v>124</v>
      </c>
      <c r="B159" s="11" t="s">
        <v>136</v>
      </c>
      <c r="C159" s="12">
        <v>62.0</v>
      </c>
      <c r="D159" s="13" t="str">
        <f t="shared" si="1"/>
        <v>Low</v>
      </c>
      <c r="E159" s="12">
        <v>95.5</v>
      </c>
      <c r="F159" s="14" t="s">
        <v>31</v>
      </c>
      <c r="G159" s="15"/>
      <c r="H159" s="15"/>
      <c r="I159" s="16" t="s">
        <v>32</v>
      </c>
      <c r="J159" s="11" t="s">
        <v>33</v>
      </c>
    </row>
    <row r="160" ht="15.75" customHeight="1">
      <c r="A160" s="11" t="s">
        <v>124</v>
      </c>
      <c r="B160" s="11" t="s">
        <v>137</v>
      </c>
      <c r="C160" s="12">
        <v>30.0</v>
      </c>
      <c r="D160" s="13" t="str">
        <f t="shared" si="1"/>
        <v>Low</v>
      </c>
      <c r="E160" s="12">
        <v>97.5</v>
      </c>
      <c r="F160" s="14" t="s">
        <v>35</v>
      </c>
      <c r="G160" s="15"/>
      <c r="H160" s="15"/>
      <c r="I160" s="16" t="s">
        <v>32</v>
      </c>
      <c r="J160" s="11" t="s">
        <v>33</v>
      </c>
    </row>
    <row r="161" ht="15.75" customHeight="1">
      <c r="A161" s="11" t="s">
        <v>124</v>
      </c>
      <c r="B161" s="11" t="s">
        <v>138</v>
      </c>
      <c r="C161" s="12"/>
      <c r="D161" s="13" t="str">
        <f t="shared" si="1"/>
        <v>Verify</v>
      </c>
      <c r="E161" s="12">
        <v>97.5</v>
      </c>
      <c r="F161" s="14" t="s">
        <v>35</v>
      </c>
      <c r="G161" s="15"/>
      <c r="H161" s="15"/>
      <c r="I161" s="16" t="s">
        <v>32</v>
      </c>
      <c r="J161" s="11" t="s">
        <v>33</v>
      </c>
    </row>
    <row r="162" ht="15.75" customHeight="1">
      <c r="A162" s="11" t="s">
        <v>124</v>
      </c>
      <c r="B162" s="11" t="s">
        <v>137</v>
      </c>
      <c r="C162" s="12">
        <v>29.0</v>
      </c>
      <c r="D162" s="13" t="str">
        <f t="shared" si="1"/>
        <v>Low</v>
      </c>
      <c r="E162" s="12">
        <v>97.5</v>
      </c>
      <c r="F162" s="14" t="s">
        <v>35</v>
      </c>
      <c r="G162" s="15"/>
      <c r="H162" s="15"/>
      <c r="I162" s="16" t="s">
        <v>32</v>
      </c>
      <c r="J162" s="11" t="s">
        <v>33</v>
      </c>
    </row>
    <row r="163" ht="15.75" customHeight="1">
      <c r="A163" s="11" t="s">
        <v>139</v>
      </c>
      <c r="B163" s="11" t="s">
        <v>140</v>
      </c>
      <c r="C163" s="12">
        <v>4100.0</v>
      </c>
      <c r="D163" s="13" t="str">
        <f t="shared" si="1"/>
        <v>Proven</v>
      </c>
      <c r="E163" s="12">
        <v>99.25</v>
      </c>
      <c r="F163" s="14" t="s">
        <v>31</v>
      </c>
      <c r="G163" s="15"/>
      <c r="H163" s="15"/>
      <c r="I163" s="16" t="s">
        <v>32</v>
      </c>
      <c r="J163" s="11" t="s">
        <v>33</v>
      </c>
    </row>
    <row r="164" ht="15.75" customHeight="1">
      <c r="A164" s="11" t="s">
        <v>139</v>
      </c>
      <c r="B164" s="11" t="s">
        <v>141</v>
      </c>
      <c r="C164" s="12">
        <v>1900.0</v>
      </c>
      <c r="D164" s="13" t="str">
        <f t="shared" si="1"/>
        <v>Proven</v>
      </c>
      <c r="E164" s="12">
        <v>99.25</v>
      </c>
      <c r="F164" s="14" t="s">
        <v>35</v>
      </c>
      <c r="G164" s="15"/>
      <c r="H164" s="15"/>
      <c r="I164" s="16" t="s">
        <v>32</v>
      </c>
      <c r="J164" s="11" t="s">
        <v>33</v>
      </c>
    </row>
    <row r="165" ht="15.75" customHeight="1">
      <c r="A165" s="11" t="s">
        <v>139</v>
      </c>
      <c r="B165" s="11" t="s">
        <v>142</v>
      </c>
      <c r="C165" s="12">
        <v>1600.0</v>
      </c>
      <c r="D165" s="13" t="str">
        <f t="shared" si="1"/>
        <v>Proven</v>
      </c>
      <c r="E165" s="12">
        <v>99.25</v>
      </c>
      <c r="F165" s="14" t="s">
        <v>31</v>
      </c>
      <c r="G165" s="15"/>
      <c r="H165" s="15"/>
      <c r="I165" s="16" t="s">
        <v>32</v>
      </c>
      <c r="J165" s="11" t="s">
        <v>33</v>
      </c>
    </row>
    <row r="166" ht="15.75" customHeight="1">
      <c r="A166" s="11" t="s">
        <v>139</v>
      </c>
      <c r="B166" s="11" t="s">
        <v>143</v>
      </c>
      <c r="C166" s="12">
        <v>1200.0</v>
      </c>
      <c r="D166" s="13" t="str">
        <f t="shared" si="1"/>
        <v>Proven</v>
      </c>
      <c r="E166" s="12">
        <v>99.25</v>
      </c>
      <c r="F166" s="14" t="s">
        <v>31</v>
      </c>
      <c r="G166" s="15"/>
      <c r="H166" s="15"/>
      <c r="I166" s="16" t="s">
        <v>32</v>
      </c>
      <c r="J166" s="11" t="s">
        <v>33</v>
      </c>
    </row>
    <row r="167" ht="15.75" customHeight="1">
      <c r="A167" s="11" t="s">
        <v>139</v>
      </c>
      <c r="B167" s="11" t="s">
        <v>143</v>
      </c>
      <c r="C167" s="12">
        <v>974.0</v>
      </c>
      <c r="D167" s="13" t="str">
        <f t="shared" si="1"/>
        <v>Watch</v>
      </c>
      <c r="E167" s="12">
        <v>99.25</v>
      </c>
      <c r="F167" s="14" t="s">
        <v>31</v>
      </c>
      <c r="G167" s="15"/>
      <c r="H167" s="15"/>
      <c r="I167" s="16" t="s">
        <v>32</v>
      </c>
      <c r="J167" s="11" t="s">
        <v>33</v>
      </c>
    </row>
    <row r="168" ht="15.75" customHeight="1">
      <c r="A168" s="11" t="s">
        <v>139</v>
      </c>
      <c r="B168" s="11" t="s">
        <v>144</v>
      </c>
      <c r="C168" s="12">
        <v>936.0</v>
      </c>
      <c r="D168" s="13" t="str">
        <f t="shared" si="1"/>
        <v>Watch</v>
      </c>
      <c r="E168" s="12">
        <v>103.25</v>
      </c>
      <c r="F168" s="14" t="s">
        <v>31</v>
      </c>
      <c r="G168" s="15"/>
      <c r="H168" s="15"/>
      <c r="I168" s="16" t="s">
        <v>32</v>
      </c>
      <c r="J168" s="11" t="s">
        <v>33</v>
      </c>
    </row>
    <row r="169" ht="15.75" customHeight="1">
      <c r="A169" s="11" t="s">
        <v>139</v>
      </c>
      <c r="B169" s="11" t="s">
        <v>145</v>
      </c>
      <c r="C169" s="12">
        <v>880.0</v>
      </c>
      <c r="D169" s="13" t="str">
        <f t="shared" si="1"/>
        <v>Watch</v>
      </c>
      <c r="E169" s="12">
        <v>103.25</v>
      </c>
      <c r="F169" s="14" t="s">
        <v>31</v>
      </c>
      <c r="G169" s="15"/>
      <c r="H169" s="15"/>
      <c r="I169" s="16" t="s">
        <v>32</v>
      </c>
      <c r="J169" s="11" t="s">
        <v>33</v>
      </c>
    </row>
    <row r="170" ht="15.75" customHeight="1">
      <c r="A170" s="11" t="s">
        <v>139</v>
      </c>
      <c r="B170" s="11" t="s">
        <v>146</v>
      </c>
      <c r="C170" s="12">
        <v>826.0</v>
      </c>
      <c r="D170" s="13" t="str">
        <f t="shared" si="1"/>
        <v>Watch</v>
      </c>
      <c r="E170" s="12">
        <v>103.25</v>
      </c>
      <c r="F170" s="14" t="s">
        <v>31</v>
      </c>
      <c r="G170" s="15"/>
      <c r="H170" s="15"/>
      <c r="I170" s="16" t="s">
        <v>32</v>
      </c>
      <c r="J170" s="11" t="s">
        <v>33</v>
      </c>
    </row>
    <row r="171" ht="15.75" customHeight="1">
      <c r="A171" s="11" t="s">
        <v>139</v>
      </c>
      <c r="B171" s="11" t="s">
        <v>147</v>
      </c>
      <c r="C171" s="12">
        <v>590.0</v>
      </c>
      <c r="D171" s="13" t="str">
        <f t="shared" si="1"/>
        <v>Watch</v>
      </c>
      <c r="E171" s="12">
        <v>105.75</v>
      </c>
      <c r="F171" s="14" t="s">
        <v>35</v>
      </c>
      <c r="G171" s="15"/>
      <c r="H171" s="15"/>
      <c r="I171" s="16" t="s">
        <v>32</v>
      </c>
      <c r="J171" s="11" t="s">
        <v>33</v>
      </c>
    </row>
    <row r="172" ht="15.75" customHeight="1">
      <c r="A172" s="11" t="s">
        <v>139</v>
      </c>
      <c r="B172" s="11" t="s">
        <v>145</v>
      </c>
      <c r="C172" s="12">
        <v>809.0</v>
      </c>
      <c r="D172" s="13" t="str">
        <f t="shared" si="1"/>
        <v>Watch</v>
      </c>
      <c r="E172" s="12">
        <v>105.75</v>
      </c>
      <c r="F172" s="14" t="s">
        <v>31</v>
      </c>
      <c r="G172" s="15"/>
      <c r="H172" s="15"/>
      <c r="I172" s="16" t="s">
        <v>32</v>
      </c>
      <c r="J172" s="11" t="s">
        <v>33</v>
      </c>
    </row>
    <row r="173" ht="15.75" customHeight="1">
      <c r="A173" s="11" t="s">
        <v>139</v>
      </c>
      <c r="B173" s="11" t="s">
        <v>148</v>
      </c>
      <c r="C173" s="12">
        <v>659.0</v>
      </c>
      <c r="D173" s="13" t="str">
        <f t="shared" si="1"/>
        <v>Watch</v>
      </c>
      <c r="E173" s="12">
        <v>105.75</v>
      </c>
      <c r="F173" s="14" t="s">
        <v>35</v>
      </c>
      <c r="G173" s="15"/>
      <c r="H173" s="15"/>
      <c r="I173" s="16" t="s">
        <v>32</v>
      </c>
      <c r="J173" s="11" t="s">
        <v>33</v>
      </c>
    </row>
    <row r="174" ht="15.75" customHeight="1">
      <c r="A174" s="11" t="s">
        <v>139</v>
      </c>
      <c r="B174" s="11" t="s">
        <v>149</v>
      </c>
      <c r="C174" s="12">
        <v>550.0</v>
      </c>
      <c r="D174" s="13" t="str">
        <f t="shared" si="1"/>
        <v>Watch</v>
      </c>
      <c r="E174" s="12">
        <v>105.75</v>
      </c>
      <c r="F174" s="14" t="s">
        <v>31</v>
      </c>
      <c r="G174" s="15"/>
      <c r="H174" s="15"/>
      <c r="I174" s="16" t="s">
        <v>32</v>
      </c>
      <c r="J174" s="11" t="s">
        <v>33</v>
      </c>
    </row>
    <row r="175" ht="15.75" customHeight="1">
      <c r="A175" s="11" t="s">
        <v>139</v>
      </c>
      <c r="B175" s="11" t="s">
        <v>146</v>
      </c>
      <c r="C175" s="12">
        <v>539.0</v>
      </c>
      <c r="D175" s="13" t="str">
        <f t="shared" si="1"/>
        <v>Watch</v>
      </c>
      <c r="E175" s="12">
        <v>108.25</v>
      </c>
      <c r="F175" s="14" t="s">
        <v>31</v>
      </c>
      <c r="G175" s="15"/>
      <c r="H175" s="15"/>
      <c r="I175" s="16" t="s">
        <v>32</v>
      </c>
      <c r="J175" s="11" t="s">
        <v>33</v>
      </c>
    </row>
    <row r="176" ht="15.75" customHeight="1">
      <c r="A176" s="11" t="s">
        <v>139</v>
      </c>
      <c r="B176" s="11" t="s">
        <v>150</v>
      </c>
      <c r="C176" s="12">
        <v>465.0</v>
      </c>
      <c r="D176" s="13" t="str">
        <f t="shared" si="1"/>
        <v>Watch</v>
      </c>
      <c r="E176" s="12">
        <v>108.25</v>
      </c>
      <c r="F176" s="14" t="s">
        <v>59</v>
      </c>
      <c r="G176" s="15"/>
      <c r="H176" s="15"/>
      <c r="I176" s="16" t="s">
        <v>32</v>
      </c>
      <c r="J176" s="11" t="s">
        <v>60</v>
      </c>
    </row>
    <row r="177" ht="15.75" customHeight="1">
      <c r="A177" s="11" t="s">
        <v>139</v>
      </c>
      <c r="B177" s="11" t="s">
        <v>58</v>
      </c>
      <c r="C177" s="12">
        <v>375.0</v>
      </c>
      <c r="D177" s="13" t="str">
        <f t="shared" si="1"/>
        <v>Watch</v>
      </c>
      <c r="E177" s="12">
        <v>108.25</v>
      </c>
      <c r="F177" s="14" t="s">
        <v>59</v>
      </c>
      <c r="G177" s="15"/>
      <c r="H177" s="15"/>
      <c r="I177" s="16" t="s">
        <v>32</v>
      </c>
      <c r="J177" s="11" t="s">
        <v>60</v>
      </c>
    </row>
    <row r="178" ht="15.75" customHeight="1">
      <c r="A178" s="17" t="s">
        <v>139</v>
      </c>
      <c r="B178" s="17" t="s">
        <v>151</v>
      </c>
      <c r="C178" s="18">
        <v>351.0</v>
      </c>
      <c r="D178" s="19" t="str">
        <f t="shared" si="1"/>
        <v>Watch</v>
      </c>
      <c r="E178" s="18">
        <v>108.25</v>
      </c>
      <c r="F178" s="20" t="s">
        <v>35</v>
      </c>
      <c r="G178" s="21"/>
      <c r="H178" s="21"/>
      <c r="I178" s="22" t="s">
        <v>32</v>
      </c>
      <c r="J178" s="17" t="s">
        <v>33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78">
    <cfRule type="containsText" dxfId="5" priority="1" operator="containsText" text="Viral">
      <formula>NOT(ISERROR(SEARCH(("Viral"),(D2))))</formula>
    </cfRule>
  </conditionalFormatting>
  <conditionalFormatting sqref="D2:D178">
    <cfRule type="containsText" dxfId="6" priority="2" operator="containsText" text="Strong">
      <formula>NOT(ISERROR(SEARCH(("Strong"),(D2))))</formula>
    </cfRule>
  </conditionalFormatting>
  <conditionalFormatting sqref="F2:F178">
    <cfRule type="containsText" dxfId="7" priority="3" operator="containsText" text="Low">
      <formula>NOT(ISERROR(SEARCH(("Low"),(F2))))</formula>
    </cfRule>
  </conditionalFormatting>
  <dataValidations>
    <dataValidation type="list" allowBlank="1" showErrorMessage="1" sqref="F2:F178">
      <formula1>"High,Medium,Low"</formula1>
    </dataValidation>
    <dataValidation type="list" allowBlank="1" showErrorMessage="1" sqref="I2:I178">
      <formula1>"Needs link lookup,Ready to contact,Contacted,Retainer prospect,Skip"</formula1>
    </dataValidation>
    <dataValidation type="custom" allowBlank="1" showDropDown="1" sqref="C2:C178 E2:E178">
      <formula1>AND(ISNUMBER(C2),(NOT(OR(NOT(ISERROR(DATEVALUE(C2))), AND(ISNUMBER(C2), LEFT(CELL("format", C2))="D")))))</formula1>
    </dataValidation>
    <dataValidation allowBlank="1" showDropDown="1" sqref="A2:B178 D2:D178 G2:H178 J2:J178"/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6" width="22.0"/>
    <col customWidth="1" min="7" max="26" width="8.63"/>
  </cols>
  <sheetData>
    <row r="1" ht="33.75" customHeight="1">
      <c r="A1" s="1" t="s">
        <v>0</v>
      </c>
    </row>
    <row r="3">
      <c r="A3" s="2" t="s">
        <v>1</v>
      </c>
      <c r="B3" s="3" t="s">
        <v>2</v>
      </c>
    </row>
    <row r="4">
      <c r="A4" s="4" t="s">
        <v>3</v>
      </c>
      <c r="B4" s="5">
        <v>177.0</v>
      </c>
    </row>
    <row r="5">
      <c r="A5" s="4" t="s">
        <v>4</v>
      </c>
      <c r="B5" s="5">
        <f t="array" ref="B5">COUNTA(UNIQUE('Creator Videos'!$B$2:$B$178))</f>
        <v>107</v>
      </c>
    </row>
    <row r="6">
      <c r="A6" s="4" t="s">
        <v>5</v>
      </c>
      <c r="B6" s="5">
        <f>COUNTIF('Creator Videos'!$C$2:$C$178,"&gt;=10000")</f>
        <v>41</v>
      </c>
    </row>
    <row r="7">
      <c r="A7" s="4" t="s">
        <v>6</v>
      </c>
      <c r="B7" s="5">
        <f>COUNTIF('Creator Videos'!$C$2:$C$178,"&gt;=100000")</f>
        <v>6</v>
      </c>
    </row>
    <row r="8">
      <c r="A8" s="6" t="s">
        <v>8</v>
      </c>
      <c r="B8" s="8">
        <f>COUNTIF('Creator Videos'!$F$2:$F$178,"Low")</f>
        <v>10</v>
      </c>
    </row>
    <row r="10">
      <c r="A10" s="9" t="s">
        <v>12</v>
      </c>
    </row>
    <row r="11">
      <c r="A11" s="10" t="s">
        <v>15</v>
      </c>
      <c r="B11" s="10" t="s">
        <v>16</v>
      </c>
    </row>
    <row r="12">
      <c r="A12" s="10" t="s">
        <v>18</v>
      </c>
      <c r="B12" s="10" t="s">
        <v>20</v>
      </c>
    </row>
    <row r="13">
      <c r="A13" s="10" t="s">
        <v>21</v>
      </c>
      <c r="B13" s="10" t="s">
        <v>23</v>
      </c>
    </row>
    <row r="14">
      <c r="A14" s="10" t="s">
        <v>24</v>
      </c>
      <c r="B14" s="10" t="s">
        <v>26</v>
      </c>
    </row>
    <row r="15">
      <c r="A15" s="10" t="s">
        <v>27</v>
      </c>
      <c r="B15" s="10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A10:F10"/>
    <mergeCell ref="B11:F11"/>
    <mergeCell ref="B12:F12"/>
    <mergeCell ref="B13:F13"/>
    <mergeCell ref="B14:F14"/>
    <mergeCell ref="B15:F15"/>
  </mergeCells>
  <printOptions/>
  <pageMargins bottom="0.75" footer="0.0" header="0.0" left="0.7" right="0.7" top="0.75"/>
  <pageSetup orientation="landscape"/>
  <drawing r:id="rId1"/>
</worksheet>
</file>